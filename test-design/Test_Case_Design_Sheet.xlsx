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Release Gate" sheetId="3" state="visible" r:id="rId3"/>
    <sheet xmlns:r="http://schemas.openxmlformats.org/officeDocument/2006/relationships" name="Traceability - Risks" sheetId="4" state="visible" r:id="rId4"/>
    <sheet xmlns:r="http://schemas.openxmlformats.org/officeDocument/2006/relationships" name="Traceability - Defects" sheetId="5" state="visible" r:id="rId5"/>
    <sheet xmlns:r="http://schemas.openxmlformats.org/officeDocument/2006/relationships" name="Run Results" sheetId="6" state="visible" r:id="rId6"/>
    <sheet xmlns:r="http://schemas.openxmlformats.org/officeDocument/2006/relationships" name="Defect Log" sheetId="7" state="visible" r:id="rId7"/>
    <sheet xmlns:r="http://schemas.openxmlformats.org/officeDocument/2006/relationships" name="Exploration Log" sheetId="8" state="visible" r:id="rId8"/>
    <sheet xmlns:r="http://schemas.openxmlformats.org/officeDocument/2006/relationships" name="Limitations" sheetId="9" state="visible" r:id="rId9"/>
  </sheets>
  <definedNames>
    <definedName name="_xlnm._FilterDatabase" localSheetId="1" hidden="1">'Test Cases'!$A$4:$AG$110</definedName>
    <definedName name="_xlnm._FilterDatabase" localSheetId="6" hidden="1">'Defect Log'!$A$4:$N$24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4"/>
    </font>
    <font>
      <name val="Arial"/>
      <i val="1"/>
      <color rgb="00595959"/>
      <sz val="9"/>
    </font>
    <font>
      <name val="Arial"/>
      <b val="1"/>
      <color rgb="00FFFFFF"/>
      <sz val="10"/>
    </font>
    <font>
      <name val="Arial"/>
      <sz val="10"/>
    </font>
    <font>
      <name val="Arial"/>
      <b val="1"/>
    </font>
    <font>
      <name val="Arial"/>
      <b val="1"/>
      <sz val="11"/>
    </font>
    <font>
      <name val="Arial"/>
      <i val="1"/>
      <sz val="9"/>
    </font>
    <font>
      <name val="Arial"/>
      <b val="1"/>
      <sz val="10"/>
    </font>
  </fonts>
  <fills count="10">
    <fill>
      <patternFill/>
    </fill>
    <fill>
      <patternFill patternType="gray125"/>
    </fill>
    <fill>
      <patternFill patternType="solid">
        <fgColor rgb="001F3864"/>
      </patternFill>
    </fill>
    <fill>
      <patternFill patternType="solid">
        <fgColor rgb="00FFF2CC"/>
      </patternFill>
    </fill>
    <fill>
      <patternFill patternType="solid">
        <fgColor rgb="00F4B6B6"/>
      </patternFill>
    </fill>
    <fill>
      <patternFill patternType="solid">
        <fgColor rgb="00D5E8D4"/>
      </patternFill>
    </fill>
    <fill>
      <patternFill patternType="solid">
        <fgColor rgb="00F9D5A7"/>
      </patternFill>
    </fill>
    <fill>
      <patternFill patternType="solid">
        <fgColor rgb="00FFFFFF"/>
      </patternFill>
    </fill>
    <fill>
      <patternFill patternType="solid">
        <fgColor rgb="00FFF2B3"/>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8" fillId="9" borderId="1" applyAlignment="1" pivotButton="0" quotePrefix="0" xfId="0">
      <alignment vertical="top" wrapText="1"/>
    </xf>
    <xf numFmtId="0" fontId="8" fillId="0" borderId="0" pivotButton="0" quotePrefix="0" xfId="0"/>
    <xf numFmtId="9" fontId="4" fillId="0" borderId="0" pivotButton="0" quotePrefix="0" xfId="0"/>
    <xf numFmtId="0" fontId="4" fillId="0" borderId="0" pivotButton="0" quotePrefix="0" xfId="0"/>
    <xf numFmtId="0" fontId="5" fillId="0" borderId="0" pivotButton="0" quotePrefix="0" xfId="0"/>
    <xf numFmtId="0" fontId="7" fillId="0" borderId="0" pivotButton="0" quotePrefix="0" xfId="0"/>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9" fontId="4"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J27"/>
  <sheetViews>
    <sheetView showGridLines="0" workbookViewId="0">
      <selection activeCell="A1" sqref="A1"/>
    </sheetView>
  </sheetViews>
  <sheetFormatPr baseColWidth="8" defaultRowHeight="15"/>
  <cols>
    <col width="40" customWidth="1" min="1" max="1"/>
    <col width="9" customWidth="1" min="2" max="2"/>
    <col width="14" customWidth="1" min="3" max="3"/>
    <col width="8" customWidth="1" min="4" max="4"/>
    <col width="8" customWidth="1" min="5" max="5"/>
    <col width="8" customWidth="1" min="6" max="6"/>
    <col width="16" customWidth="1" min="7" max="7"/>
    <col width="11" customWidth="1" min="8" max="8"/>
    <col width="9" customWidth="1" min="9" max="9"/>
    <col width="10" customWidth="1" min="10" max="10"/>
  </cols>
  <sheetData>
    <row r="1">
      <c r="A1" s="1" t="inlineStr">
        <is>
          <t>Summary</t>
        </is>
      </c>
    </row>
    <row r="2">
      <c r="A2" s="2" t="inlineStr">
        <is>
          <t>All figures are formulas over the Test Cases sheet.</t>
        </is>
      </c>
    </row>
    <row r="4" ht="32" customHeight="1">
      <c r="A4" s="3" t="inlineStr">
        <is>
          <t>Module</t>
        </is>
      </c>
      <c r="B4" s="3" t="inlineStr">
        <is>
          <t>Total</t>
        </is>
      </c>
      <c r="C4" s="3" t="inlineStr">
        <is>
          <t>P1 (release gate)</t>
        </is>
      </c>
      <c r="D4" s="3" t="inlineStr">
        <is>
          <t>P2</t>
        </is>
      </c>
      <c r="E4" s="3" t="inlineStr">
        <is>
          <t>P3</t>
        </is>
      </c>
      <c r="F4" s="3" t="inlineStr">
        <is>
          <t>Smoke</t>
        </is>
      </c>
      <c r="G4" s="3" t="inlineStr">
        <is>
          <t>Seeded-defect checks</t>
        </is>
      </c>
      <c r="H4" s="3" t="inlineStr">
        <is>
          <t>Automated</t>
        </is>
      </c>
      <c r="I4" s="3" t="inlineStr">
        <is>
          <t>Blocked</t>
        </is>
      </c>
      <c r="J4" s="3" t="inlineStr">
        <is>
          <t>Sensitive</t>
        </is>
      </c>
    </row>
    <row r="5">
      <c r="A5" s="4" t="inlineStr">
        <is>
          <t>Authentication &amp; Session</t>
        </is>
      </c>
      <c r="B5" s="4">
        <f>COUNTIF('Test Cases'!$C$5:$C$110,A5)</f>
        <v/>
      </c>
      <c r="C5" s="4">
        <f>COUNTIFS('Test Cases'!$C$5:$C$110,A5,'Test Cases'!$P$5:$P$110,"P1")</f>
        <v/>
      </c>
      <c r="D5" s="4">
        <f>COUNTIFS('Test Cases'!$C$5:$C$110,A5,'Test Cases'!$P$5:$P$110,"P2")</f>
        <v/>
      </c>
      <c r="E5" s="4">
        <f>COUNTIFS('Test Cases'!$C$5:$C$110,A5,'Test Cases'!$P$5:$P$110,"P3")</f>
        <v/>
      </c>
      <c r="F5" s="4">
        <f>COUNTIFS('Test Cases'!$C$5:$C$110,A5,'Test Cases'!$S$5:$S$110,"Y")</f>
        <v/>
      </c>
      <c r="G5" s="4">
        <f>COUNTIFS('Test Cases'!$C$5:$C$110,A5,'Test Cases'!$G$5:$G$110,"?*")</f>
        <v/>
      </c>
      <c r="H5" s="4">
        <f>COUNTIFS('Test Cases'!$C$5:$C$110,A5,'Test Cases'!$V$5:$V$110,"Automated")</f>
        <v/>
      </c>
      <c r="I5" s="4">
        <f>COUNTIFS('Test Cases'!$C$5:$C$110,A5,'Test Cases'!$V$5:$V$110,"Blocked")</f>
        <v/>
      </c>
      <c r="J5" s="4">
        <f>COUNTIFS('Test Cases'!$C$5:$C$110,A5,'Test Cases'!$T$5:$T$110,"Y")</f>
        <v/>
      </c>
    </row>
    <row r="6">
      <c r="A6" s="4" t="inlineStr">
        <is>
          <t>Agent Dashboard</t>
        </is>
      </c>
      <c r="B6" s="4">
        <f>COUNTIF('Test Cases'!$C$5:$C$110,A6)</f>
        <v/>
      </c>
      <c r="C6" s="4">
        <f>COUNTIFS('Test Cases'!$C$5:$C$110,A6,'Test Cases'!$P$5:$P$110,"P1")</f>
        <v/>
      </c>
      <c r="D6" s="4">
        <f>COUNTIFS('Test Cases'!$C$5:$C$110,A6,'Test Cases'!$P$5:$P$110,"P2")</f>
        <v/>
      </c>
      <c r="E6" s="4">
        <f>COUNTIFS('Test Cases'!$C$5:$C$110,A6,'Test Cases'!$P$5:$P$110,"P3")</f>
        <v/>
      </c>
      <c r="F6" s="4">
        <f>COUNTIFS('Test Cases'!$C$5:$C$110,A6,'Test Cases'!$S$5:$S$110,"Y")</f>
        <v/>
      </c>
      <c r="G6" s="4">
        <f>COUNTIFS('Test Cases'!$C$5:$C$110,A6,'Test Cases'!$G$5:$G$110,"?*")</f>
        <v/>
      </c>
      <c r="H6" s="4">
        <f>COUNTIFS('Test Cases'!$C$5:$C$110,A6,'Test Cases'!$V$5:$V$110,"Automated")</f>
        <v/>
      </c>
      <c r="I6" s="4">
        <f>COUNTIFS('Test Cases'!$C$5:$C$110,A6,'Test Cases'!$V$5:$V$110,"Blocked")</f>
        <v/>
      </c>
      <c r="J6" s="4">
        <f>COUNTIFS('Test Cases'!$C$5:$C$110,A6,'Test Cases'!$T$5:$T$110,"Y")</f>
        <v/>
      </c>
    </row>
    <row r="7">
      <c r="A7" s="4" t="inlineStr">
        <is>
          <t>Client / Insured Information</t>
        </is>
      </c>
      <c r="B7" s="4">
        <f>COUNTIF('Test Cases'!$C$5:$C$110,A7)</f>
        <v/>
      </c>
      <c r="C7" s="4">
        <f>COUNTIFS('Test Cases'!$C$5:$C$110,A7,'Test Cases'!$P$5:$P$110,"P1")</f>
        <v/>
      </c>
      <c r="D7" s="4">
        <f>COUNTIFS('Test Cases'!$C$5:$C$110,A7,'Test Cases'!$P$5:$P$110,"P2")</f>
        <v/>
      </c>
      <c r="E7" s="4">
        <f>COUNTIFS('Test Cases'!$C$5:$C$110,A7,'Test Cases'!$P$5:$P$110,"P3")</f>
        <v/>
      </c>
      <c r="F7" s="4">
        <f>COUNTIFS('Test Cases'!$C$5:$C$110,A7,'Test Cases'!$S$5:$S$110,"Y")</f>
        <v/>
      </c>
      <c r="G7" s="4">
        <f>COUNTIFS('Test Cases'!$C$5:$C$110,A7,'Test Cases'!$G$5:$G$110,"?*")</f>
        <v/>
      </c>
      <c r="H7" s="4">
        <f>COUNTIFS('Test Cases'!$C$5:$C$110,A7,'Test Cases'!$V$5:$V$110,"Automated")</f>
        <v/>
      </c>
      <c r="I7" s="4">
        <f>COUNTIFS('Test Cases'!$C$5:$C$110,A7,'Test Cases'!$V$5:$V$110,"Blocked")</f>
        <v/>
      </c>
      <c r="J7" s="4">
        <f>COUNTIFS('Test Cases'!$C$5:$C$110,A7,'Test Cases'!$T$5:$T$110,"Y")</f>
        <v/>
      </c>
    </row>
    <row r="8">
      <c r="A8" s="4" t="inlineStr">
        <is>
          <t>Product Selection &amp; Policy Configuration</t>
        </is>
      </c>
      <c r="B8" s="4">
        <f>COUNTIF('Test Cases'!$C$5:$C$110,A8)</f>
        <v/>
      </c>
      <c r="C8" s="4">
        <f>COUNTIFS('Test Cases'!$C$5:$C$110,A8,'Test Cases'!$P$5:$P$110,"P1")</f>
        <v/>
      </c>
      <c r="D8" s="4">
        <f>COUNTIFS('Test Cases'!$C$5:$C$110,A8,'Test Cases'!$P$5:$P$110,"P2")</f>
        <v/>
      </c>
      <c r="E8" s="4">
        <f>COUNTIFS('Test Cases'!$C$5:$C$110,A8,'Test Cases'!$P$5:$P$110,"P3")</f>
        <v/>
      </c>
      <c r="F8" s="4">
        <f>COUNTIFS('Test Cases'!$C$5:$C$110,A8,'Test Cases'!$S$5:$S$110,"Y")</f>
        <v/>
      </c>
      <c r="G8" s="4">
        <f>COUNTIFS('Test Cases'!$C$5:$C$110,A8,'Test Cases'!$G$5:$G$110,"?*")</f>
        <v/>
      </c>
      <c r="H8" s="4">
        <f>COUNTIFS('Test Cases'!$C$5:$C$110,A8,'Test Cases'!$V$5:$V$110,"Automated")</f>
        <v/>
      </c>
      <c r="I8" s="4">
        <f>COUNTIFS('Test Cases'!$C$5:$C$110,A8,'Test Cases'!$V$5:$V$110,"Blocked")</f>
        <v/>
      </c>
      <c r="J8" s="4">
        <f>COUNTIFS('Test Cases'!$C$5:$C$110,A8,'Test Cases'!$T$5:$T$110,"Y")</f>
        <v/>
      </c>
    </row>
    <row r="9">
      <c r="A9" s="4" t="inlineStr">
        <is>
          <t>Rider Selection</t>
        </is>
      </c>
      <c r="B9" s="4">
        <f>COUNTIF('Test Cases'!$C$5:$C$110,A9)</f>
        <v/>
      </c>
      <c r="C9" s="4">
        <f>COUNTIFS('Test Cases'!$C$5:$C$110,A9,'Test Cases'!$P$5:$P$110,"P1")</f>
        <v/>
      </c>
      <c r="D9" s="4">
        <f>COUNTIFS('Test Cases'!$C$5:$C$110,A9,'Test Cases'!$P$5:$P$110,"P2")</f>
        <v/>
      </c>
      <c r="E9" s="4">
        <f>COUNTIFS('Test Cases'!$C$5:$C$110,A9,'Test Cases'!$P$5:$P$110,"P3")</f>
        <v/>
      </c>
      <c r="F9" s="4">
        <f>COUNTIFS('Test Cases'!$C$5:$C$110,A9,'Test Cases'!$S$5:$S$110,"Y")</f>
        <v/>
      </c>
      <c r="G9" s="4">
        <f>COUNTIFS('Test Cases'!$C$5:$C$110,A9,'Test Cases'!$G$5:$G$110,"?*")</f>
        <v/>
      </c>
      <c r="H9" s="4">
        <f>COUNTIFS('Test Cases'!$C$5:$C$110,A9,'Test Cases'!$V$5:$V$110,"Automated")</f>
        <v/>
      </c>
      <c r="I9" s="4">
        <f>COUNTIFS('Test Cases'!$C$5:$C$110,A9,'Test Cases'!$V$5:$V$110,"Blocked")</f>
        <v/>
      </c>
      <c r="J9" s="4">
        <f>COUNTIFS('Test Cases'!$C$5:$C$110,A9,'Test Cases'!$T$5:$T$110,"Y")</f>
        <v/>
      </c>
    </row>
    <row r="10">
      <c r="A10" s="4" t="inlineStr">
        <is>
          <t>Beneficiary Management</t>
        </is>
      </c>
      <c r="B10" s="4">
        <f>COUNTIF('Test Cases'!$C$5:$C$110,A10)</f>
        <v/>
      </c>
      <c r="C10" s="4">
        <f>COUNTIFS('Test Cases'!$C$5:$C$110,A10,'Test Cases'!$P$5:$P$110,"P1")</f>
        <v/>
      </c>
      <c r="D10" s="4">
        <f>COUNTIFS('Test Cases'!$C$5:$C$110,A10,'Test Cases'!$P$5:$P$110,"P2")</f>
        <v/>
      </c>
      <c r="E10" s="4">
        <f>COUNTIFS('Test Cases'!$C$5:$C$110,A10,'Test Cases'!$P$5:$P$110,"P3")</f>
        <v/>
      </c>
      <c r="F10" s="4">
        <f>COUNTIFS('Test Cases'!$C$5:$C$110,A10,'Test Cases'!$S$5:$S$110,"Y")</f>
        <v/>
      </c>
      <c r="G10" s="4">
        <f>COUNTIFS('Test Cases'!$C$5:$C$110,A10,'Test Cases'!$G$5:$G$110,"?*")</f>
        <v/>
      </c>
      <c r="H10" s="4">
        <f>COUNTIFS('Test Cases'!$C$5:$C$110,A10,'Test Cases'!$V$5:$V$110,"Automated")</f>
        <v/>
      </c>
      <c r="I10" s="4">
        <f>COUNTIFS('Test Cases'!$C$5:$C$110,A10,'Test Cases'!$V$5:$V$110,"Blocked")</f>
        <v/>
      </c>
      <c r="J10" s="4">
        <f>COUNTIFS('Test Cases'!$C$5:$C$110,A10,'Test Cases'!$T$5:$T$110,"Y")</f>
        <v/>
      </c>
    </row>
    <row r="11">
      <c r="A11" s="4" t="inlineStr">
        <is>
          <t>Document Upload</t>
        </is>
      </c>
      <c r="B11" s="4">
        <f>COUNTIF('Test Cases'!$C$5:$C$110,A11)</f>
        <v/>
      </c>
      <c r="C11" s="4">
        <f>COUNTIFS('Test Cases'!$C$5:$C$110,A11,'Test Cases'!$P$5:$P$110,"P1")</f>
        <v/>
      </c>
      <c r="D11" s="4">
        <f>COUNTIFS('Test Cases'!$C$5:$C$110,A11,'Test Cases'!$P$5:$P$110,"P2")</f>
        <v/>
      </c>
      <c r="E11" s="4">
        <f>COUNTIFS('Test Cases'!$C$5:$C$110,A11,'Test Cases'!$P$5:$P$110,"P3")</f>
        <v/>
      </c>
      <c r="F11" s="4">
        <f>COUNTIFS('Test Cases'!$C$5:$C$110,A11,'Test Cases'!$S$5:$S$110,"Y")</f>
        <v/>
      </c>
      <c r="G11" s="4">
        <f>COUNTIFS('Test Cases'!$C$5:$C$110,A11,'Test Cases'!$G$5:$G$110,"?*")</f>
        <v/>
      </c>
      <c r="H11" s="4">
        <f>COUNTIFS('Test Cases'!$C$5:$C$110,A11,'Test Cases'!$V$5:$V$110,"Automated")</f>
        <v/>
      </c>
      <c r="I11" s="4">
        <f>COUNTIFS('Test Cases'!$C$5:$C$110,A11,'Test Cases'!$V$5:$V$110,"Blocked")</f>
        <v/>
      </c>
      <c r="J11" s="4">
        <f>COUNTIFS('Test Cases'!$C$5:$C$110,A11,'Test Cases'!$T$5:$T$110,"Y")</f>
        <v/>
      </c>
    </row>
    <row r="12">
      <c r="A12" s="4" t="inlineStr">
        <is>
          <t>Validation Summary</t>
        </is>
      </c>
      <c r="B12" s="4">
        <f>COUNTIF('Test Cases'!$C$5:$C$110,A12)</f>
        <v/>
      </c>
      <c r="C12" s="4">
        <f>COUNTIFS('Test Cases'!$C$5:$C$110,A12,'Test Cases'!$P$5:$P$110,"P1")</f>
        <v/>
      </c>
      <c r="D12" s="4">
        <f>COUNTIFS('Test Cases'!$C$5:$C$110,A12,'Test Cases'!$P$5:$P$110,"P2")</f>
        <v/>
      </c>
      <c r="E12" s="4">
        <f>COUNTIFS('Test Cases'!$C$5:$C$110,A12,'Test Cases'!$P$5:$P$110,"P3")</f>
        <v/>
      </c>
      <c r="F12" s="4">
        <f>COUNTIFS('Test Cases'!$C$5:$C$110,A12,'Test Cases'!$S$5:$S$110,"Y")</f>
        <v/>
      </c>
      <c r="G12" s="4">
        <f>COUNTIFS('Test Cases'!$C$5:$C$110,A12,'Test Cases'!$G$5:$G$110,"?*")</f>
        <v/>
      </c>
      <c r="H12" s="4">
        <f>COUNTIFS('Test Cases'!$C$5:$C$110,A12,'Test Cases'!$V$5:$V$110,"Automated")</f>
        <v/>
      </c>
      <c r="I12" s="4">
        <f>COUNTIFS('Test Cases'!$C$5:$C$110,A12,'Test Cases'!$V$5:$V$110,"Blocked")</f>
        <v/>
      </c>
      <c r="J12" s="4">
        <f>COUNTIFS('Test Cases'!$C$5:$C$110,A12,'Test Cases'!$T$5:$T$110,"Y")</f>
        <v/>
      </c>
    </row>
    <row r="13">
      <c r="A13" s="4" t="inlineStr">
        <is>
          <t>Submission &amp; Status Tracking</t>
        </is>
      </c>
      <c r="B13" s="4">
        <f>COUNTIF('Test Cases'!$C$5:$C$110,A13)</f>
        <v/>
      </c>
      <c r="C13" s="4">
        <f>COUNTIFS('Test Cases'!$C$5:$C$110,A13,'Test Cases'!$P$5:$P$110,"P1")</f>
        <v/>
      </c>
      <c r="D13" s="4">
        <f>COUNTIFS('Test Cases'!$C$5:$C$110,A13,'Test Cases'!$P$5:$P$110,"P2")</f>
        <v/>
      </c>
      <c r="E13" s="4">
        <f>COUNTIFS('Test Cases'!$C$5:$C$110,A13,'Test Cases'!$P$5:$P$110,"P3")</f>
        <v/>
      </c>
      <c r="F13" s="4">
        <f>COUNTIFS('Test Cases'!$C$5:$C$110,A13,'Test Cases'!$S$5:$S$110,"Y")</f>
        <v/>
      </c>
      <c r="G13" s="4">
        <f>COUNTIFS('Test Cases'!$C$5:$C$110,A13,'Test Cases'!$G$5:$G$110,"?*")</f>
        <v/>
      </c>
      <c r="H13" s="4">
        <f>COUNTIFS('Test Cases'!$C$5:$C$110,A13,'Test Cases'!$V$5:$V$110,"Automated")</f>
        <v/>
      </c>
      <c r="I13" s="4">
        <f>COUNTIFS('Test Cases'!$C$5:$C$110,A13,'Test Cases'!$V$5:$V$110,"Blocked")</f>
        <v/>
      </c>
      <c r="J13" s="4">
        <f>COUNTIFS('Test Cases'!$C$5:$C$110,A13,'Test Cases'!$T$5:$T$110,"Y")</f>
        <v/>
      </c>
    </row>
    <row r="14">
      <c r="A14" s="4" t="inlineStr">
        <is>
          <t>API Validation</t>
        </is>
      </c>
      <c r="B14" s="4">
        <f>COUNTIF('Test Cases'!$C$5:$C$110,A14)</f>
        <v/>
      </c>
      <c r="C14" s="4">
        <f>COUNTIFS('Test Cases'!$C$5:$C$110,A14,'Test Cases'!$P$5:$P$110,"P1")</f>
        <v/>
      </c>
      <c r="D14" s="4">
        <f>COUNTIFS('Test Cases'!$C$5:$C$110,A14,'Test Cases'!$P$5:$P$110,"P2")</f>
        <v/>
      </c>
      <c r="E14" s="4">
        <f>COUNTIFS('Test Cases'!$C$5:$C$110,A14,'Test Cases'!$P$5:$P$110,"P3")</f>
        <v/>
      </c>
      <c r="F14" s="4">
        <f>COUNTIFS('Test Cases'!$C$5:$C$110,A14,'Test Cases'!$S$5:$S$110,"Y")</f>
        <v/>
      </c>
      <c r="G14" s="4">
        <f>COUNTIFS('Test Cases'!$C$5:$C$110,A14,'Test Cases'!$G$5:$G$110,"?*")</f>
        <v/>
      </c>
      <c r="H14" s="4">
        <f>COUNTIFS('Test Cases'!$C$5:$C$110,A14,'Test Cases'!$V$5:$V$110,"Automated")</f>
        <v/>
      </c>
      <c r="I14" s="4">
        <f>COUNTIFS('Test Cases'!$C$5:$C$110,A14,'Test Cases'!$V$5:$V$110,"Blocked")</f>
        <v/>
      </c>
      <c r="J14" s="4">
        <f>COUNTIFS('Test Cases'!$C$5:$C$110,A14,'Test Cases'!$T$5:$T$110,"Y")</f>
        <v/>
      </c>
    </row>
    <row r="15">
      <c r="A15" s="4" t="inlineStr">
        <is>
          <t>Database Validation</t>
        </is>
      </c>
      <c r="B15" s="4">
        <f>COUNTIF('Test Cases'!$C$5:$C$110,A15)</f>
        <v/>
      </c>
      <c r="C15" s="4">
        <f>COUNTIFS('Test Cases'!$C$5:$C$110,A15,'Test Cases'!$P$5:$P$110,"P1")</f>
        <v/>
      </c>
      <c r="D15" s="4">
        <f>COUNTIFS('Test Cases'!$C$5:$C$110,A15,'Test Cases'!$P$5:$P$110,"P2")</f>
        <v/>
      </c>
      <c r="E15" s="4">
        <f>COUNTIFS('Test Cases'!$C$5:$C$110,A15,'Test Cases'!$P$5:$P$110,"P3")</f>
        <v/>
      </c>
      <c r="F15" s="4">
        <f>COUNTIFS('Test Cases'!$C$5:$C$110,A15,'Test Cases'!$S$5:$S$110,"Y")</f>
        <v/>
      </c>
      <c r="G15" s="4">
        <f>COUNTIFS('Test Cases'!$C$5:$C$110,A15,'Test Cases'!$G$5:$G$110,"?*")</f>
        <v/>
      </c>
      <c r="H15" s="4">
        <f>COUNTIFS('Test Cases'!$C$5:$C$110,A15,'Test Cases'!$V$5:$V$110,"Automated")</f>
        <v/>
      </c>
      <c r="I15" s="4">
        <f>COUNTIFS('Test Cases'!$C$5:$C$110,A15,'Test Cases'!$V$5:$V$110,"Blocked")</f>
        <v/>
      </c>
      <c r="J15" s="4">
        <f>COUNTIFS('Test Cases'!$C$5:$C$110,A15,'Test Cases'!$T$5:$T$110,"Y")</f>
        <v/>
      </c>
    </row>
    <row r="16">
      <c r="A16" s="4" t="inlineStr">
        <is>
          <t>Framework Self-Checks</t>
        </is>
      </c>
      <c r="B16" s="4">
        <f>COUNTIF('Test Cases'!$C$5:$C$110,A16)</f>
        <v/>
      </c>
      <c r="C16" s="4">
        <f>COUNTIFS('Test Cases'!$C$5:$C$110,A16,'Test Cases'!$P$5:$P$110,"P1")</f>
        <v/>
      </c>
      <c r="D16" s="4">
        <f>COUNTIFS('Test Cases'!$C$5:$C$110,A16,'Test Cases'!$P$5:$P$110,"P2")</f>
        <v/>
      </c>
      <c r="E16" s="4">
        <f>COUNTIFS('Test Cases'!$C$5:$C$110,A16,'Test Cases'!$P$5:$P$110,"P3")</f>
        <v/>
      </c>
      <c r="F16" s="4">
        <f>COUNTIFS('Test Cases'!$C$5:$C$110,A16,'Test Cases'!$S$5:$S$110,"Y")</f>
        <v/>
      </c>
      <c r="G16" s="4">
        <f>COUNTIFS('Test Cases'!$C$5:$C$110,A16,'Test Cases'!$G$5:$G$110,"?*")</f>
        <v/>
      </c>
      <c r="H16" s="4">
        <f>COUNTIFS('Test Cases'!$C$5:$C$110,A16,'Test Cases'!$V$5:$V$110,"Automated")</f>
        <v/>
      </c>
      <c r="I16" s="4">
        <f>COUNTIFS('Test Cases'!$C$5:$C$110,A16,'Test Cases'!$V$5:$V$110,"Blocked")</f>
        <v/>
      </c>
      <c r="J16" s="4">
        <f>COUNTIFS('Test Cases'!$C$5:$C$110,A16,'Test Cases'!$T$5:$T$110,"Y")</f>
        <v/>
      </c>
    </row>
    <row r="17">
      <c r="A17" s="5" t="inlineStr">
        <is>
          <t>Total</t>
        </is>
      </c>
      <c r="B17" s="5">
        <f>SUM(B5:B16)</f>
        <v/>
      </c>
      <c r="C17" s="5">
        <f>SUM(C5:C16)</f>
        <v/>
      </c>
      <c r="D17" s="5">
        <f>SUM(D5:D16)</f>
        <v/>
      </c>
      <c r="E17" s="5">
        <f>SUM(E5:E16)</f>
        <v/>
      </c>
      <c r="F17" s="5">
        <f>SUM(F5:F16)</f>
        <v/>
      </c>
      <c r="G17" s="5">
        <f>SUM(G5:G16)</f>
        <v/>
      </c>
      <c r="H17" s="5">
        <f>SUM(H5:H16)</f>
        <v/>
      </c>
      <c r="I17" s="5">
        <f>SUM(I5:I16)</f>
        <v/>
      </c>
      <c r="J17" s="5">
        <f>SUM(J5:J16)</f>
        <v/>
      </c>
    </row>
    <row r="19">
      <c r="A19" s="6" t="inlineStr">
        <is>
          <t>P1 share of all cases (Submission 1: 50%)</t>
        </is>
      </c>
      <c r="B19" s="7">
        <f>C17/B17</f>
        <v/>
      </c>
    </row>
    <row r="20">
      <c r="A20" s="6" t="inlineStr">
        <is>
          <t>Release gate within 15-20?</t>
        </is>
      </c>
      <c r="B20" s="8">
        <f>IF(AND(C17&gt;=15,C17&lt;=20),"Yes","No - review")</f>
        <v/>
      </c>
    </row>
    <row r="21">
      <c r="A21" s="6" t="inlineStr">
        <is>
          <t>Automation coverage (automated / total)</t>
        </is>
      </c>
      <c r="B21" s="7">
        <f>H17/B17</f>
        <v/>
      </c>
    </row>
    <row r="22">
      <c r="A22" s="6" t="inlineStr">
        <is>
          <t>Risks covered</t>
        </is>
      </c>
      <c r="B22" s="8">
        <f>COUNTIF('Traceability - Risks'!J5:J45,"&gt;0")&amp;" of 41"</f>
        <v/>
      </c>
    </row>
    <row r="23">
      <c r="A23" s="6" t="inlineStr">
        <is>
          <t>Reported issues covered</t>
        </is>
      </c>
      <c r="B23" s="8">
        <f>COUNTIF('Traceability - Defects'!F5:F24,"&gt;0")&amp;" of 20"</f>
        <v/>
      </c>
    </row>
    <row r="25">
      <c r="A25" s="9" t="inlineStr">
        <is>
          <t>Notes</t>
        </is>
      </c>
    </row>
    <row r="26">
      <c r="A26" s="10" t="inlineStr">
        <is>
          <t>Automated = a Playwright test exists for the case. Blocked = cannot be automated yet (database access, Q04).</t>
        </is>
      </c>
    </row>
    <row r="27">
      <c r="A27" s="10" t="inlineStr">
        <is>
          <t>Five live runs exist (Run Results sheet): v1 passed 5/15 smoke and 10/96 overall (RUN-2); the latest smoke run (RUN-5) passed 12/15 (2 API tests skipped as environment, 1 failure open: RIDER-V01, AD-13). The full suite has NOT been re-run since RUN-2.</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AG1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42" customWidth="1" min="2" max="2"/>
    <col width="22" customWidth="1" min="3" max="3"/>
    <col width="11" customWidth="1" min="4" max="4"/>
    <col width="8" customWidth="1" min="5" max="5"/>
    <col width="16" customWidth="1" min="6" max="6"/>
    <col width="34" customWidth="1" min="7" max="7"/>
    <col width="18" customWidth="1" min="8" max="8"/>
    <col width="14" customWidth="1" min="9" max="9"/>
    <col width="12" customWidth="1" min="10" max="10"/>
    <col width="40" customWidth="1" min="11" max="11"/>
    <col width="50" customWidth="1" min="12" max="12"/>
    <col width="30" customWidth="1" min="13" max="13"/>
    <col width="48" customWidth="1" min="14" max="14"/>
    <col width="10" customWidth="1" min="15" max="15"/>
    <col width="12" customWidth="1" min="16" max="16"/>
    <col width="11" customWidth="1" min="17" max="17"/>
    <col width="8" customWidth="1" min="18" max="18"/>
    <col width="7" customWidth="1" min="19" max="19"/>
    <col width="11" customWidth="1" min="20" max="20"/>
    <col width="30" customWidth="1" min="21" max="21"/>
    <col width="12" customWidth="1" min="22" max="22"/>
    <col width="30" customWidth="1" min="23" max="23"/>
    <col width="30" customWidth="1" min="24" max="24"/>
    <col width="12" customWidth="1" min="25" max="25"/>
    <col width="40" customWidth="1" min="26" max="26"/>
    <col width="36" customWidth="1" min="27" max="27"/>
    <col width="18" customWidth="1" min="28" max="28"/>
    <col width="18" customWidth="1" min="29" max="29"/>
    <col width="18" customWidth="1" min="30" max="30"/>
    <col width="18" customWidth="1" min="31" max="31"/>
    <col width="18" customWidth="1" min="32" max="32"/>
    <col width="14" customWidth="1" min="33" max="33"/>
  </cols>
  <sheetData>
    <row r="1">
      <c r="A1" s="1" t="inlineStr">
        <is>
          <t>Test Case Design Sheet - Insurance Order Entry Platform (Submission 2)</t>
        </is>
      </c>
    </row>
    <row r="2">
      <c r="A2" s="2" t="inlineStr">
        <is>
          <t>Generated from test-design/testCases.js. Edit the .js file (single source of truth) and re-run: npm run export:testdesign &amp;&amp; python scripts/build_test_sheet.py</t>
        </is>
      </c>
    </row>
    <row r="4" ht="32" customHeight="1">
      <c r="A4" s="3" t="inlineStr">
        <is>
          <t>Test Case ID</t>
        </is>
      </c>
      <c r="B4" s="3" t="inlineStr">
        <is>
          <t>Title</t>
        </is>
      </c>
      <c r="C4" s="3" t="inlineStr">
        <is>
          <t>Module</t>
        </is>
      </c>
      <c r="D4" s="3" t="inlineStr">
        <is>
          <t>Scenario ID</t>
        </is>
      </c>
      <c r="E4" s="3" t="inlineStr">
        <is>
          <t>Source</t>
        </is>
      </c>
      <c r="F4" s="3" t="inlineStr">
        <is>
          <t>Requirement / Risk Link (Submission 1 risk IDs)</t>
        </is>
      </c>
      <c r="G4" s="3" t="inlineStr">
        <is>
          <t>Seeded Defect Theme (reported issue)</t>
        </is>
      </c>
      <c r="H4" s="3" t="inlineStr">
        <is>
          <t>Seeded Defect Candidate / Catalog Code</t>
        </is>
      </c>
      <c r="I4" s="3" t="inlineStr">
        <is>
          <t>Test Type</t>
        </is>
      </c>
      <c r="J4" s="3" t="inlineStr">
        <is>
          <t>Layer</t>
        </is>
      </c>
      <c r="K4" s="3" t="inlineStr">
        <is>
          <t>Preconditions</t>
        </is>
      </c>
      <c r="L4" s="3" t="inlineStr">
        <is>
          <t>Test Steps</t>
        </is>
      </c>
      <c r="M4" s="3" t="inlineStr">
        <is>
          <t>Test Data</t>
        </is>
      </c>
      <c r="N4" s="3" t="inlineStr">
        <is>
          <t>Expected Result</t>
        </is>
      </c>
      <c r="O4" s="3" t="inlineStr">
        <is>
          <t>Severity</t>
        </is>
      </c>
      <c r="P4" s="3" t="inlineStr">
        <is>
          <t>Priority (P1 = release gate)</t>
        </is>
      </c>
      <c r="Q4" s="3" t="inlineStr">
        <is>
          <t>Submission 1 Priority</t>
        </is>
      </c>
      <c r="R4" s="3" t="inlineStr">
        <is>
          <t>Release Gate</t>
        </is>
      </c>
      <c r="S4" s="3" t="inlineStr">
        <is>
          <t>Smoke</t>
        </is>
      </c>
      <c r="T4" s="3" t="inlineStr">
        <is>
          <t>Sensitive Data (no trace/video)</t>
        </is>
      </c>
      <c r="U4" s="3" t="inlineStr">
        <is>
          <t>Evidence Required</t>
        </is>
      </c>
      <c r="V4" s="3" t="inlineStr">
        <is>
          <t>Automation Status</t>
        </is>
      </c>
      <c r="W4" s="3" t="inlineStr">
        <is>
          <t>Automated In</t>
        </is>
      </c>
      <c r="X4" s="3" t="inlineStr">
        <is>
          <t>Run Conditions / TBC</t>
        </is>
      </c>
      <c r="Y4" s="3" t="inlineStr">
        <is>
          <t>Open Questions</t>
        </is>
      </c>
      <c r="Z4" s="3" t="inlineStr">
        <is>
          <t>Blocked Reason</t>
        </is>
      </c>
      <c r="AA4" s="3" t="inlineStr">
        <is>
          <t>Tags</t>
        </is>
      </c>
      <c r="AB4" s="3" t="inlineStr">
        <is>
          <t>Live run 1 - smoke 26-Oct 11:38 (old code)</t>
        </is>
      </c>
      <c r="AC4" s="3" t="inlineStr">
        <is>
          <t>Live run 2 - full 26-Oct 11:51 (old code)</t>
        </is>
      </c>
      <c r="AD4" s="3" t="inlineStr">
        <is>
          <t>Live run 3 - smoke after fixes</t>
        </is>
      </c>
      <c r="AE4" s="3" t="inlineStr">
        <is>
          <t>Live run 4 - smoke 28-Oct</t>
        </is>
      </c>
      <c r="AF4" s="3" t="inlineStr">
        <is>
          <t>Live run 5 - smoke 28-Oct (later)</t>
        </is>
      </c>
      <c r="AG4" s="3" t="inlineStr">
        <is>
          <t>Defect Log IDs</t>
        </is>
      </c>
    </row>
    <row r="5">
      <c r="A5" s="4" t="inlineStr">
        <is>
          <t>TC-AUTH-V01</t>
        </is>
      </c>
      <c r="B5" s="4" t="inlineStr">
        <is>
          <t>Valid agent logs in and lands on their draft application (BR-AUTH-010)</t>
        </is>
      </c>
      <c r="C5" s="4" t="inlineStr">
        <is>
          <t>Authentication &amp; Session</t>
        </is>
      </c>
      <c r="D5" s="4" t="inlineStr">
        <is>
          <t>AUTH-V01</t>
        </is>
      </c>
      <c r="E5" s="4" t="inlineStr">
        <is>
          <t>S1</t>
        </is>
      </c>
      <c r="F5" s="4" t="inlineStr">
        <is>
          <t>R01</t>
        </is>
      </c>
      <c r="G5" s="4" t="inlineStr">
        <is>
          <t>RI-01: Valid agents cannot log in after authentication changes</t>
        </is>
      </c>
      <c r="H5" s="11" t="inlineStr">
        <is>
          <t>SDC-01</t>
        </is>
      </c>
      <c r="I5" s="4" t="inlineStr">
        <is>
          <t>UI Positive</t>
        </is>
      </c>
      <c r="J5" s="4" t="inlineStr">
        <is>
          <t>UI</t>
        </is>
      </c>
      <c r="K5" s="4" t="inlineStr">
        <is>
          <t>Seeded valid agent exists and is active; browser has no session</t>
        </is>
      </c>
      <c r="L5" s="4" t="inlineStr">
        <is>
          <t>1. Open /login
2. Enter valid agent email and password
3. Click Log in</t>
        </is>
      </c>
      <c r="M5" s="4" t="inlineStr">
        <is>
          <t>AGENT_VALID_EMAIL / AGENT_VALID_PASSWORD</t>
        </is>
      </c>
      <c r="N5" s="4" t="inlineStr">
        <is>
          <t>Browser leaves /login and lands on the draft application Client Information page (/applications/:id/client); the logout control is visible</t>
        </is>
      </c>
      <c r="O5" s="12" t="inlineStr">
        <is>
          <t>Critical</t>
        </is>
      </c>
      <c r="P5" s="12" t="inlineStr">
        <is>
          <t>P1</t>
        </is>
      </c>
      <c r="Q5" s="4" t="inlineStr">
        <is>
          <t>P1</t>
        </is>
      </c>
      <c r="R5" s="4" t="inlineStr">
        <is>
          <t>Y</t>
        </is>
      </c>
      <c r="S5" s="4" t="inlineStr">
        <is>
          <t>Y</t>
        </is>
      </c>
      <c r="T5" s="4" t="inlineStr">
        <is>
          <t>N</t>
        </is>
      </c>
      <c r="U5" s="4" t="inlineStr">
        <is>
          <t>Screenshot attached on pass AND fail; trace/video on failure; diagnostics.json (console + 5xx)</t>
        </is>
      </c>
      <c r="V5" s="13" t="inlineStr">
        <is>
          <t>Automated</t>
        </is>
      </c>
      <c r="W5" s="4" t="inlineStr">
        <is>
          <t>tests/ui/auth.spec.js</t>
        </is>
      </c>
      <c r="X5" s="4" t="inlineStr"/>
      <c r="Y5" s="4" t="inlineStr"/>
      <c r="Z5" s="4" t="inlineStr"/>
      <c r="AA5" s="4" t="inlineStr">
        <is>
          <t>@regression @authentication @p1 @smoke @release-gate @seeded</t>
        </is>
      </c>
      <c r="AB5" s="13" t="inlineStr">
        <is>
          <t>Passed</t>
        </is>
      </c>
      <c r="AC5" s="13" t="inlineStr">
        <is>
          <t>Passed</t>
        </is>
      </c>
      <c r="AD5" s="13" t="inlineStr">
        <is>
          <t>Passed</t>
        </is>
      </c>
      <c r="AE5" s="13" t="inlineStr">
        <is>
          <t>Passed</t>
        </is>
      </c>
      <c r="AF5" s="13" t="inlineStr">
        <is>
          <t>Passed</t>
        </is>
      </c>
      <c r="AG5" s="4" t="inlineStr"/>
    </row>
    <row r="6">
      <c r="A6" s="4" t="inlineStr">
        <is>
          <t>TC-AUTH-V02</t>
        </is>
      </c>
      <c r="B6" s="4" t="inlineStr">
        <is>
          <t>Invalid password shows correct error message</t>
        </is>
      </c>
      <c r="C6" s="4" t="inlineStr">
        <is>
          <t>Authentication &amp; Session</t>
        </is>
      </c>
      <c r="D6" s="4" t="inlineStr">
        <is>
          <t>AUTH-V02</t>
        </is>
      </c>
      <c r="E6" s="4" t="inlineStr">
        <is>
          <t>S1</t>
        </is>
      </c>
      <c r="F6" s="4" t="inlineStr">
        <is>
          <t>R02</t>
        </is>
      </c>
      <c r="G6" s="4" t="inlineStr">
        <is>
          <t>RI-02: Locked or invalid agents get incorrect / misleading messages</t>
        </is>
      </c>
      <c r="H6" s="11" t="inlineStr">
        <is>
          <t>SDC-02</t>
        </is>
      </c>
      <c r="I6" s="4" t="inlineStr">
        <is>
          <t>UI Negative</t>
        </is>
      </c>
      <c r="J6" s="4" t="inlineStr">
        <is>
          <t>UI</t>
        </is>
      </c>
      <c r="K6" s="4" t="inlineStr">
        <is>
          <t>Seeded valid agent exists; browser has no session</t>
        </is>
      </c>
      <c r="L6" s="4" t="inlineStr">
        <is>
          <t>1. Open /login
2. Enter valid email with a WRONG password
3. Click Log in</t>
        </is>
      </c>
      <c r="M6" s="4" t="inlineStr">
        <is>
          <t>AGENT_VALID_EMAIL + AGENT_INVALID_PASSWORD</t>
        </is>
      </c>
      <c r="N6" s="4" t="inlineStr">
        <is>
          <t>Stays on /login; an invalid-credentials message is shown (config/messages.js invalidCredentials); dashboard is not reachable</t>
        </is>
      </c>
      <c r="O6" s="14" t="inlineStr">
        <is>
          <t>High</t>
        </is>
      </c>
      <c r="P6" s="15" t="inlineStr">
        <is>
          <t>P2</t>
        </is>
      </c>
      <c r="Q6" s="4" t="inlineStr">
        <is>
          <t>P1</t>
        </is>
      </c>
      <c r="R6" s="4" t="inlineStr">
        <is>
          <t>N</t>
        </is>
      </c>
      <c r="S6" s="4" t="inlineStr">
        <is>
          <t>N</t>
        </is>
      </c>
      <c r="T6" s="4" t="inlineStr">
        <is>
          <t>N</t>
        </is>
      </c>
      <c r="U6" s="4" t="inlineStr">
        <is>
          <t>Screenshot attached on pass AND fail; trace/video on failure; diagnostics.json (console + 5xx)</t>
        </is>
      </c>
      <c r="V6" s="13" t="inlineStr">
        <is>
          <t>Automated</t>
        </is>
      </c>
      <c r="W6" s="4" t="inlineStr">
        <is>
          <t>tests/ui/auth.spec.js</t>
        </is>
      </c>
      <c r="X6" s="4" t="inlineStr"/>
      <c r="Y6" s="4" t="inlineStr"/>
      <c r="Z6" s="4" t="inlineStr"/>
      <c r="AA6" s="4" t="inlineStr">
        <is>
          <t>@regression @authentication @p2 @seeded</t>
        </is>
      </c>
      <c r="AB6" s="15" t="inlineStr">
        <is>
          <t>Not in smoke scope</t>
        </is>
      </c>
      <c r="AC6" s="13" t="inlineStr">
        <is>
          <t>Passed</t>
        </is>
      </c>
      <c r="AD6" s="15" t="inlineStr">
        <is>
          <t>Not in smoke scope</t>
        </is>
      </c>
      <c r="AE6" s="15" t="inlineStr">
        <is>
          <t>Not in smoke scope</t>
        </is>
      </c>
      <c r="AF6" s="15" t="inlineStr">
        <is>
          <t>Not in smoke scope</t>
        </is>
      </c>
      <c r="AG6" s="4" t="inlineStr">
        <is>
          <t>AD-07</t>
        </is>
      </c>
    </row>
    <row r="7">
      <c r="A7" s="4" t="inlineStr">
        <is>
          <t>TC-AUTH-V03</t>
        </is>
      </c>
      <c r="B7" s="4" t="inlineStr">
        <is>
          <t>Blank username/password show mandatory field errors</t>
        </is>
      </c>
      <c r="C7" s="4" t="inlineStr">
        <is>
          <t>Authentication &amp; Session</t>
        </is>
      </c>
      <c r="D7" s="4" t="inlineStr">
        <is>
          <t>AUTH-V03</t>
        </is>
      </c>
      <c r="E7" s="4" t="inlineStr">
        <is>
          <t>S1</t>
        </is>
      </c>
      <c r="F7" s="4" t="inlineStr">
        <is>
          <t>R02</t>
        </is>
      </c>
      <c r="G7" s="4" t="inlineStr"/>
      <c r="H7" s="11" t="inlineStr"/>
      <c r="I7" s="4" t="inlineStr">
        <is>
          <t>UI Negative</t>
        </is>
      </c>
      <c r="J7" s="4" t="inlineStr">
        <is>
          <t>UI</t>
        </is>
      </c>
      <c r="K7" s="4" t="inlineStr">
        <is>
          <t>Browser has no session</t>
        </is>
      </c>
      <c r="L7" s="4" t="inlineStr">
        <is>
          <t>1. Open /login
2. Leave email and password empty
3. Click Log in</t>
        </is>
      </c>
      <c r="M7" s="4" t="inlineStr">
        <is>
          <t>none</t>
        </is>
      </c>
      <c r="N7" s="4" t="inlineStr">
        <is>
          <t>Stays on /login; each empty field is flagged as required (inline message or browser validity state)</t>
        </is>
      </c>
      <c r="O7" s="16" t="inlineStr">
        <is>
          <t>Medium</t>
        </is>
      </c>
      <c r="P7" s="15" t="inlineStr">
        <is>
          <t>P2</t>
        </is>
      </c>
      <c r="Q7" s="4" t="inlineStr">
        <is>
          <t>P2</t>
        </is>
      </c>
      <c r="R7" s="4" t="inlineStr">
        <is>
          <t>N</t>
        </is>
      </c>
      <c r="S7" s="4" t="inlineStr">
        <is>
          <t>N</t>
        </is>
      </c>
      <c r="T7" s="4" t="inlineStr">
        <is>
          <t>N</t>
        </is>
      </c>
      <c r="U7" s="4" t="inlineStr">
        <is>
          <t>Screenshot + trace on failure</t>
        </is>
      </c>
      <c r="V7" s="13" t="inlineStr">
        <is>
          <t>Automated</t>
        </is>
      </c>
      <c r="W7" s="4" t="inlineStr">
        <is>
          <t>tests/ui/auth.spec.js</t>
        </is>
      </c>
      <c r="X7" s="4" t="inlineStr"/>
      <c r="Y7" s="4" t="inlineStr"/>
      <c r="Z7" s="4" t="inlineStr"/>
      <c r="AA7" s="4" t="inlineStr">
        <is>
          <t>@regression @authentication @p2</t>
        </is>
      </c>
      <c r="AB7" s="15" t="inlineStr">
        <is>
          <t>Not in smoke scope</t>
        </is>
      </c>
      <c r="AC7" s="13" t="inlineStr">
        <is>
          <t>Passed</t>
        </is>
      </c>
      <c r="AD7" s="15" t="inlineStr">
        <is>
          <t>Not in smoke scope</t>
        </is>
      </c>
      <c r="AE7" s="15" t="inlineStr">
        <is>
          <t>Not in smoke scope</t>
        </is>
      </c>
      <c r="AF7" s="15" t="inlineStr">
        <is>
          <t>Not in smoke scope</t>
        </is>
      </c>
      <c r="AG7" s="4" t="inlineStr"/>
    </row>
    <row r="8">
      <c r="A8" s="4" t="inlineStr">
        <is>
          <t>TC-AUTH-V04</t>
        </is>
      </c>
      <c r="B8" s="4" t="inlineStr">
        <is>
          <t>Logout clears session; protected route redirects to login</t>
        </is>
      </c>
      <c r="C8" s="4" t="inlineStr">
        <is>
          <t>Authentication &amp; Session</t>
        </is>
      </c>
      <c r="D8" s="4" t="inlineStr">
        <is>
          <t>AUTH-V04</t>
        </is>
      </c>
      <c r="E8" s="4" t="inlineStr">
        <is>
          <t>S1</t>
        </is>
      </c>
      <c r="F8" s="4" t="inlineStr">
        <is>
          <t>R05</t>
        </is>
      </c>
      <c r="G8" s="4" t="inlineStr"/>
      <c r="H8" s="11" t="inlineStr"/>
      <c r="I8" s="4" t="inlineStr">
        <is>
          <t>UI Positive</t>
        </is>
      </c>
      <c r="J8" s="4" t="inlineStr">
        <is>
          <t>UI</t>
        </is>
      </c>
      <c r="K8" s="4" t="inlineStr">
        <is>
          <t>Valid agent (AGENT_VALID) signed in via saved session; environment reachable</t>
        </is>
      </c>
      <c r="L8" s="4" t="inlineStr">
        <is>
          <t>1. Open the dashboard
2. Click Log out
3. Navigate directly to /dashboard</t>
        </is>
      </c>
      <c r="M8" s="4" t="inlineStr">
        <is>
          <t>Generated synthetic data (utils/dataBuilder.js)</t>
        </is>
      </c>
      <c r="N8" s="4" t="inlineStr">
        <is>
          <t>After logout the login page is shown; navigating to /dashboard redirects back to /login (no stale session)</t>
        </is>
      </c>
      <c r="O8" s="14" t="inlineStr">
        <is>
          <t>High</t>
        </is>
      </c>
      <c r="P8" s="15" t="inlineStr">
        <is>
          <t>P2</t>
        </is>
      </c>
      <c r="Q8" s="4" t="inlineStr">
        <is>
          <t>P1</t>
        </is>
      </c>
      <c r="R8" s="4" t="inlineStr">
        <is>
          <t>N</t>
        </is>
      </c>
      <c r="S8" s="4" t="inlineStr">
        <is>
          <t>Y</t>
        </is>
      </c>
      <c r="T8" s="4" t="inlineStr">
        <is>
          <t>N</t>
        </is>
      </c>
      <c r="U8" s="4" t="inlineStr">
        <is>
          <t>Screenshot + trace on failure</t>
        </is>
      </c>
      <c r="V8" s="13" t="inlineStr">
        <is>
          <t>Automated</t>
        </is>
      </c>
      <c r="W8" s="4" t="inlineStr">
        <is>
          <t>tests/ui/auth.spec.js</t>
        </is>
      </c>
      <c r="X8" s="4" t="inlineStr"/>
      <c r="Y8" s="4" t="inlineStr"/>
      <c r="Z8" s="4" t="inlineStr"/>
      <c r="AA8" s="4" t="inlineStr">
        <is>
          <t>@regression @authentication @p2 @smoke</t>
        </is>
      </c>
      <c r="AB8" s="13" t="inlineStr">
        <is>
          <t>Passed</t>
        </is>
      </c>
      <c r="AC8" s="14" t="inlineStr">
        <is>
          <t>Not passed - investigate</t>
        </is>
      </c>
      <c r="AD8" s="13" t="inlineStr">
        <is>
          <t>Passed</t>
        </is>
      </c>
      <c r="AE8" s="13" t="inlineStr">
        <is>
          <t>Passed</t>
        </is>
      </c>
      <c r="AF8" s="13" t="inlineStr">
        <is>
          <t>Passed</t>
        </is>
      </c>
      <c r="AG8" s="4" t="inlineStr">
        <is>
          <t>AD-07</t>
        </is>
      </c>
    </row>
    <row r="9">
      <c r="A9" s="4" t="inlineStr">
        <is>
          <t>TC-AUTH-V05</t>
        </is>
      </c>
      <c r="B9" s="4" t="inlineStr">
        <is>
          <t>Direct /dashboard access without login is blocked</t>
        </is>
      </c>
      <c r="C9" s="4" t="inlineStr">
        <is>
          <t>Authentication &amp; Session</t>
        </is>
      </c>
      <c r="D9" s="4" t="inlineStr">
        <is>
          <t>AUTH-V05</t>
        </is>
      </c>
      <c r="E9" s="4" t="inlineStr">
        <is>
          <t>S1</t>
        </is>
      </c>
      <c r="F9" s="4" t="inlineStr">
        <is>
          <t>R04</t>
        </is>
      </c>
      <c r="G9" s="4" t="inlineStr"/>
      <c r="H9" s="11" t="inlineStr"/>
      <c r="I9" s="4" t="inlineStr">
        <is>
          <t>UI Security</t>
        </is>
      </c>
      <c r="J9" s="4" t="inlineStr">
        <is>
          <t>UI</t>
        </is>
      </c>
      <c r="K9" s="4" t="inlineStr">
        <is>
          <t>Fresh browser context with no cookies or storage</t>
        </is>
      </c>
      <c r="L9" s="4" t="inlineStr">
        <is>
          <t>1. Navigate directly to /dashboard without logging in</t>
        </is>
      </c>
      <c r="M9" s="4" t="inlineStr">
        <is>
          <t>none</t>
        </is>
      </c>
      <c r="N9" s="4" t="inlineStr">
        <is>
          <t>Redirected to /login; no dashboard content is rendered</t>
        </is>
      </c>
      <c r="O9" s="12" t="inlineStr">
        <is>
          <t>Critical</t>
        </is>
      </c>
      <c r="P9" s="12" t="inlineStr">
        <is>
          <t>P1</t>
        </is>
      </c>
      <c r="Q9" s="4" t="inlineStr">
        <is>
          <t>P1</t>
        </is>
      </c>
      <c r="R9" s="4" t="inlineStr">
        <is>
          <t>Y</t>
        </is>
      </c>
      <c r="S9" s="4" t="inlineStr">
        <is>
          <t>Y</t>
        </is>
      </c>
      <c r="T9" s="4" t="inlineStr">
        <is>
          <t>N</t>
        </is>
      </c>
      <c r="U9" s="4" t="inlineStr">
        <is>
          <t>Screenshot + trace on failure</t>
        </is>
      </c>
      <c r="V9" s="13" t="inlineStr">
        <is>
          <t>Automated</t>
        </is>
      </c>
      <c r="W9" s="4" t="inlineStr">
        <is>
          <t>tests/ui/auth.spec.js</t>
        </is>
      </c>
      <c r="X9" s="4" t="inlineStr"/>
      <c r="Y9" s="4" t="inlineStr"/>
      <c r="Z9" s="4" t="inlineStr"/>
      <c r="AA9" s="4" t="inlineStr">
        <is>
          <t>@regression @authentication @p1 @smoke @release-gate</t>
        </is>
      </c>
      <c r="AB9" s="13" t="inlineStr">
        <is>
          <t>Passed</t>
        </is>
      </c>
      <c r="AC9" s="13" t="inlineStr">
        <is>
          <t>Passed</t>
        </is>
      </c>
      <c r="AD9" s="13" t="inlineStr">
        <is>
          <t>Passed</t>
        </is>
      </c>
      <c r="AE9" s="13" t="inlineStr">
        <is>
          <t>Passed</t>
        </is>
      </c>
      <c r="AF9" s="13" t="inlineStr">
        <is>
          <t>Passed</t>
        </is>
      </c>
      <c r="AG9" s="4" t="inlineStr"/>
    </row>
    <row r="10">
      <c r="A10" s="4" t="inlineStr">
        <is>
          <t>TC-AUTH-V06</t>
        </is>
      </c>
      <c r="B10" s="4" t="inlineStr">
        <is>
          <t>Locked user cannot access dashboard; lock message shown</t>
        </is>
      </c>
      <c r="C10" s="4" t="inlineStr">
        <is>
          <t>Authentication &amp; Session</t>
        </is>
      </c>
      <c r="D10" s="4" t="inlineStr">
        <is>
          <t>AUTH-V06</t>
        </is>
      </c>
      <c r="E10" s="4" t="inlineStr">
        <is>
          <t>S1</t>
        </is>
      </c>
      <c r="F10" s="4" t="inlineStr">
        <is>
          <t>R02</t>
        </is>
      </c>
      <c r="G10" s="4" t="inlineStr">
        <is>
          <t>RI-02: Locked or invalid agents get incorrect / misleading messages</t>
        </is>
      </c>
      <c r="H10" s="11" t="inlineStr">
        <is>
          <t>SDC-02</t>
        </is>
      </c>
      <c r="I10" s="4" t="inlineStr">
        <is>
          <t>UI Negative</t>
        </is>
      </c>
      <c r="J10" s="4" t="inlineStr">
        <is>
          <t>UI</t>
        </is>
      </c>
      <c r="K10" s="4" t="inlineStr">
        <is>
          <t>Seeded locked agent (AGENT_LOCKED) exists</t>
        </is>
      </c>
      <c r="L10" s="4" t="inlineStr">
        <is>
          <t>1. Open /login
2. Enter locked agent credentials
3. Click Log in
4. Navigate to /dashboard</t>
        </is>
      </c>
      <c r="M10" s="4" t="inlineStr">
        <is>
          <t>AGENT_LOCKED_EMAIL / AGENT_LOCKED_PASSWORD</t>
        </is>
      </c>
      <c r="N10" s="4" t="inlineStr">
        <is>
          <t>Stays on /login with an account-locked message (not a generic "invalid password"); /dashboard redirects to login</t>
        </is>
      </c>
      <c r="O10" s="14" t="inlineStr">
        <is>
          <t>High</t>
        </is>
      </c>
      <c r="P10" s="12" t="inlineStr">
        <is>
          <t>P1</t>
        </is>
      </c>
      <c r="Q10" s="4" t="inlineStr">
        <is>
          <t>P1</t>
        </is>
      </c>
      <c r="R10" s="4" t="inlineStr">
        <is>
          <t>Y</t>
        </is>
      </c>
      <c r="S10" s="4" t="inlineStr">
        <is>
          <t>N</t>
        </is>
      </c>
      <c r="T10" s="4" t="inlineStr">
        <is>
          <t>N</t>
        </is>
      </c>
      <c r="U10" s="4" t="inlineStr">
        <is>
          <t>Screenshot attached on pass AND fail; trace/video on failure; diagnostics.json (console + 5xx)</t>
        </is>
      </c>
      <c r="V10" s="13" t="inlineStr">
        <is>
          <t>Automated</t>
        </is>
      </c>
      <c r="W10" s="4" t="inlineStr">
        <is>
          <t>tests/ui/auth.spec.js</t>
        </is>
      </c>
      <c r="X10" s="4" t="inlineStr"/>
      <c r="Y10" s="4" t="inlineStr"/>
      <c r="Z10" s="4" t="inlineStr"/>
      <c r="AA10" s="4" t="inlineStr">
        <is>
          <t>@regression @authentication @p1 @release-gate @seeded</t>
        </is>
      </c>
      <c r="AB10" s="15" t="inlineStr">
        <is>
          <t>Not in smoke scope</t>
        </is>
      </c>
      <c r="AC10" s="15" t="inlineStr">
        <is>
          <t>Failed or skipped (not itemised)</t>
        </is>
      </c>
      <c r="AD10" s="15" t="inlineStr">
        <is>
          <t>Not in smoke scope</t>
        </is>
      </c>
      <c r="AE10" s="15" t="inlineStr">
        <is>
          <t>Not in smoke scope</t>
        </is>
      </c>
      <c r="AF10" s="15" t="inlineStr">
        <is>
          <t>Not in smoke scope</t>
        </is>
      </c>
      <c r="AG10" s="4" t="inlineStr"/>
    </row>
    <row r="11">
      <c r="A11" s="4" t="inlineStr">
        <is>
          <t>TC-AUTH-V07</t>
        </is>
      </c>
      <c r="B11" s="4" t="inlineStr">
        <is>
          <t>Account locks after five failed attempts</t>
        </is>
      </c>
      <c r="C11" s="4" t="inlineStr">
        <is>
          <t>Authentication &amp; Session</t>
        </is>
      </c>
      <c r="D11" s="4" t="inlineStr">
        <is>
          <t>AUTH-V07</t>
        </is>
      </c>
      <c r="E11" s="4" t="inlineStr">
        <is>
          <t>S1</t>
        </is>
      </c>
      <c r="F11" s="4" t="inlineStr">
        <is>
          <t>R03</t>
        </is>
      </c>
      <c r="G11" s="4" t="inlineStr">
        <is>
          <t>RI-02: Locked or invalid agents get incorrect / misleading messages</t>
        </is>
      </c>
      <c r="H11" s="11" t="inlineStr">
        <is>
          <t>SDC-02</t>
        </is>
      </c>
      <c r="I11" s="4" t="inlineStr">
        <is>
          <t>UI Boundary</t>
        </is>
      </c>
      <c r="J11" s="4" t="inlineStr">
        <is>
          <t>UI + API</t>
        </is>
      </c>
      <c r="K11" s="4" t="inlineStr">
        <is>
          <t>DISPOSABLE agent (AGENT_LOCKOUT) that may be left locked; lock rule per assumption A06/Q07</t>
        </is>
      </c>
      <c r="L11" s="4" t="inlineStr">
        <is>
          <t>1. Attempt login with a wrong password 4 times
2. Confirm the message is still "invalid credentials"
3. Attempt a 5th wrong login (either message is acceptable - Q07)
4. Attempt login with the CORRECT password</t>
        </is>
      </c>
      <c r="M11" s="4" t="inlineStr">
        <is>
          <t>AGENT_LOCKOUT_EMAIL; LOCKOUT_ATTEMPTS (default 5)</t>
        </is>
      </c>
      <c r="N11" s="4" t="inlineStr">
        <is>
          <t>Attempts 1-4 show invalid-credentials; after the 5th failure the CORRECT password is refused with the account-locked message</t>
        </is>
      </c>
      <c r="O11" s="14" t="inlineStr">
        <is>
          <t>High</t>
        </is>
      </c>
      <c r="P11" s="15" t="inlineStr">
        <is>
          <t>P2</t>
        </is>
      </c>
      <c r="Q11" s="4" t="inlineStr">
        <is>
          <t>P1</t>
        </is>
      </c>
      <c r="R11" s="4" t="inlineStr">
        <is>
          <t>N</t>
        </is>
      </c>
      <c r="S11" s="4" t="inlineStr">
        <is>
          <t>N</t>
        </is>
      </c>
      <c r="T11" s="4" t="inlineStr">
        <is>
          <t>N</t>
        </is>
      </c>
      <c r="U11" s="4" t="inlineStr">
        <is>
          <t>Screenshot attached on pass AND fail; trace/video on failure; diagnostics.json (console + 5xx)</t>
        </is>
      </c>
      <c r="V11" s="13" t="inlineStr">
        <is>
          <t>Automated</t>
        </is>
      </c>
      <c r="W11" s="4" t="inlineStr">
        <is>
          <t>tests/ui/auth.spec.js</t>
        </is>
      </c>
      <c r="X11" s="4" t="inlineStr">
        <is>
          <t>Set AGENT_LOCKOUT_EMAIL (destructive: locks the account)</t>
        </is>
      </c>
      <c r="Y11" s="4" t="inlineStr"/>
      <c r="Z11" s="4" t="inlineStr"/>
      <c r="AA11" s="4" t="inlineStr">
        <is>
          <t>@regression @authentication @p2 @seeded @api</t>
        </is>
      </c>
      <c r="AB11" s="15" t="inlineStr">
        <is>
          <t>Not in smoke scope</t>
        </is>
      </c>
      <c r="AC11" s="15" t="inlineStr">
        <is>
          <t>Failed or skipped (not itemised)</t>
        </is>
      </c>
      <c r="AD11" s="15" t="inlineStr">
        <is>
          <t>Not in smoke scope</t>
        </is>
      </c>
      <c r="AE11" s="15" t="inlineStr">
        <is>
          <t>Not in smoke scope</t>
        </is>
      </c>
      <c r="AF11" s="15" t="inlineStr">
        <is>
          <t>Not in smoke scope</t>
        </is>
      </c>
      <c r="AG11" s="4" t="inlineStr"/>
    </row>
    <row r="12">
      <c r="A12" s="4" t="inlineStr">
        <is>
          <t>TC-AUTH-V08</t>
        </is>
      </c>
      <c r="B12" s="4" t="inlineStr">
        <is>
          <t>Password policy rejects weak password (reset/change)</t>
        </is>
      </c>
      <c r="C12" s="4" t="inlineStr">
        <is>
          <t>Authentication &amp; Session</t>
        </is>
      </c>
      <c r="D12" s="4" t="inlineStr">
        <is>
          <t>AUTH-V08</t>
        </is>
      </c>
      <c r="E12" s="4" t="inlineStr">
        <is>
          <t>S1</t>
        </is>
      </c>
      <c r="F12" s="4" t="inlineStr">
        <is>
          <t>R06</t>
        </is>
      </c>
      <c r="G12" s="4" t="inlineStr">
        <is>
          <t>RI-03: Password policy not consistently enforced</t>
        </is>
      </c>
      <c r="H12" s="11" t="inlineStr"/>
      <c r="I12" s="4" t="inlineStr">
        <is>
          <t>UI Negative</t>
        </is>
      </c>
      <c r="J12" s="4" t="inlineStr">
        <is>
          <t>UI</t>
        </is>
      </c>
      <c r="K12" s="4" t="inlineStr">
        <is>
          <t>DISPOSABLE reset agent (AGENT_RESET); simulated OTP known (OTP_CODE)</t>
        </is>
      </c>
      <c r="L12" s="4" t="inlineStr">
        <is>
          <t>1. Open /forgot-password and request a reset for the reset agent
2. Enter the OTP
3. For each weak password (short, no digit, no uppercase, common word) set it as the new password</t>
        </is>
      </c>
      <c r="M12" s="4" t="inlineStr">
        <is>
          <t>AGENT_RESET_EMAIL; OTP_CODE; weak password list in tests/ui/auth.spec.js</t>
        </is>
      </c>
      <c r="N12" s="4" t="inlineStr">
        <is>
          <t>Every weak password is rejected with a password-policy message; the password is not changed</t>
        </is>
      </c>
      <c r="O12" s="16" t="inlineStr">
        <is>
          <t>Medium</t>
        </is>
      </c>
      <c r="P12" s="15" t="inlineStr">
        <is>
          <t>P2</t>
        </is>
      </c>
      <c r="Q12" s="4" t="inlineStr">
        <is>
          <t>P2</t>
        </is>
      </c>
      <c r="R12" s="4" t="inlineStr">
        <is>
          <t>N</t>
        </is>
      </c>
      <c r="S12" s="4" t="inlineStr">
        <is>
          <t>N</t>
        </is>
      </c>
      <c r="T12" s="4" t="inlineStr">
        <is>
          <t>N</t>
        </is>
      </c>
      <c r="U12" s="4" t="inlineStr">
        <is>
          <t>Screenshot attached on pass AND fail; trace/video on failure; diagnostics.json (console + 5xx)</t>
        </is>
      </c>
      <c r="V12" s="13" t="inlineStr">
        <is>
          <t>Automated</t>
        </is>
      </c>
      <c r="W12" s="4" t="inlineStr">
        <is>
          <t>tests/ui/auth.spec.js</t>
        </is>
      </c>
      <c r="X12" s="4" t="inlineStr">
        <is>
          <t>Set AGENT_RESET_EMAIL and OTP_CODE (Q08, Q09)</t>
        </is>
      </c>
      <c r="Y12" s="4" t="inlineStr">
        <is>
          <t>Q08, Q09</t>
        </is>
      </c>
      <c r="Z12" s="4" t="inlineStr"/>
      <c r="AA12" s="4" t="inlineStr">
        <is>
          <t>@regression @authentication @p2 @seeded</t>
        </is>
      </c>
      <c r="AB12" s="15" t="inlineStr">
        <is>
          <t>Not in smoke scope</t>
        </is>
      </c>
      <c r="AC12" s="15" t="inlineStr">
        <is>
          <t>Failed or skipped (not itemised)</t>
        </is>
      </c>
      <c r="AD12" s="15" t="inlineStr">
        <is>
          <t>Not in smoke scope</t>
        </is>
      </c>
      <c r="AE12" s="15" t="inlineStr">
        <is>
          <t>Not in smoke scope</t>
        </is>
      </c>
      <c r="AF12" s="15" t="inlineStr">
        <is>
          <t>Not in smoke scope</t>
        </is>
      </c>
      <c r="AG12" s="4" t="inlineStr"/>
    </row>
    <row r="13">
      <c r="A13" s="4" t="inlineStr">
        <is>
          <t>TC-AUTH-V09</t>
        </is>
      </c>
      <c r="B13" s="4" t="inlineStr">
        <is>
          <t>MFA/OTP simulation login</t>
        </is>
      </c>
      <c r="C13" s="4" t="inlineStr">
        <is>
          <t>Authentication &amp; Session</t>
        </is>
      </c>
      <c r="D13" s="4" t="inlineStr">
        <is>
          <t>AUTH-V09</t>
        </is>
      </c>
      <c r="E13" s="4" t="inlineStr">
        <is>
          <t>S1+</t>
        </is>
      </c>
      <c r="F13" s="4" t="inlineStr">
        <is>
          <t>R01</t>
        </is>
      </c>
      <c r="G13" s="4" t="inlineStr"/>
      <c r="H13" s="11" t="inlineStr"/>
      <c r="I13" s="4" t="inlineStr">
        <is>
          <t>UI Positive</t>
        </is>
      </c>
      <c r="J13" s="4" t="inlineStr">
        <is>
          <t>UI</t>
        </is>
      </c>
      <c r="K13" s="4" t="inlineStr">
        <is>
          <t>Seeded MFA agent (AGENT_MFA); simulated OTP known (OTP_CODE)</t>
        </is>
      </c>
      <c r="L13" s="4" t="inlineStr">
        <is>
          <t>1. Log in with MFA agent credentials
2. Confirm OTP prompt
3. Enter a WRONG OTP
4. Enter the correct OTP</t>
        </is>
      </c>
      <c r="M13" s="4" t="inlineStr">
        <is>
          <t>AGENT_MFA_EMAIL; OTP_CODE</t>
        </is>
      </c>
      <c r="N13" s="4" t="inlineStr">
        <is>
          <t>OTP prompt appears; wrong OTP is rejected; correct OTP completes login to the dashboard</t>
        </is>
      </c>
      <c r="O13" s="14" t="inlineStr">
        <is>
          <t>High</t>
        </is>
      </c>
      <c r="P13" s="15" t="inlineStr">
        <is>
          <t>P2</t>
        </is>
      </c>
      <c r="Q13" s="4" t="inlineStr">
        <is>
          <t>P2</t>
        </is>
      </c>
      <c r="R13" s="4" t="inlineStr">
        <is>
          <t>N</t>
        </is>
      </c>
      <c r="S13" s="4" t="inlineStr">
        <is>
          <t>N</t>
        </is>
      </c>
      <c r="T13" s="4" t="inlineStr">
        <is>
          <t>N</t>
        </is>
      </c>
      <c r="U13" s="4" t="inlineStr">
        <is>
          <t>Screenshot + trace on failure</t>
        </is>
      </c>
      <c r="V13" s="13" t="inlineStr">
        <is>
          <t>Automated</t>
        </is>
      </c>
      <c r="W13" s="4" t="inlineStr">
        <is>
          <t>tests/ui/auth.spec.js</t>
        </is>
      </c>
      <c r="X13" s="4" t="inlineStr">
        <is>
          <t>Set OTP_CODE (Q08). agent.mfa is a confirmed seeded account</t>
        </is>
      </c>
      <c r="Y13" s="4" t="inlineStr">
        <is>
          <t>Q08</t>
        </is>
      </c>
      <c r="Z13" s="4" t="inlineStr"/>
      <c r="AA13" s="4" t="inlineStr">
        <is>
          <t>@regression @authentication @p2</t>
        </is>
      </c>
      <c r="AB13" s="15" t="inlineStr">
        <is>
          <t>Not in smoke scope</t>
        </is>
      </c>
      <c r="AC13" s="15" t="inlineStr">
        <is>
          <t>Failed or skipped (not itemised)</t>
        </is>
      </c>
      <c r="AD13" s="15" t="inlineStr">
        <is>
          <t>Not in smoke scope</t>
        </is>
      </c>
      <c r="AE13" s="15" t="inlineStr">
        <is>
          <t>Not in smoke scope</t>
        </is>
      </c>
      <c r="AF13" s="15" t="inlineStr">
        <is>
          <t>Not in smoke scope</t>
        </is>
      </c>
      <c r="AG13" s="4" t="inlineStr"/>
    </row>
    <row r="14">
      <c r="A14" s="4" t="inlineStr">
        <is>
          <t>TC-AUTH-V14</t>
        </is>
      </c>
      <c r="B14" s="4" t="inlineStr">
        <is>
          <t>Admin logs in and lands on the dashboard (carried over from the starter project as AUTH-V01b)</t>
        </is>
      </c>
      <c r="C14" s="4" t="inlineStr">
        <is>
          <t>Authentication &amp; Session</t>
        </is>
      </c>
      <c r="D14" s="4" t="inlineStr">
        <is>
          <t>AUTH-V14</t>
        </is>
      </c>
      <c r="E14" s="4" t="inlineStr">
        <is>
          <t>S2+</t>
        </is>
      </c>
      <c r="F14" s="4" t="inlineStr">
        <is>
          <t>R01</t>
        </is>
      </c>
      <c r="G14" s="4" t="inlineStr"/>
      <c r="H14" s="11" t="inlineStr"/>
      <c r="I14" s="4" t="inlineStr">
        <is>
          <t>UI Positive</t>
        </is>
      </c>
      <c r="J14" s="4" t="inlineStr">
        <is>
          <t>UI</t>
        </is>
      </c>
      <c r="K14" s="4" t="inlineStr">
        <is>
          <t>Seeded admin user exists and is active; browser has no session</t>
        </is>
      </c>
      <c r="L14" s="4" t="inlineStr">
        <is>
          <t>1. Open /login
2. Enter admin email and password
3. Click Log in</t>
        </is>
      </c>
      <c r="M14" s="4" t="inlineStr">
        <is>
          <t>ADMIN_EMAIL + ADMIN_PASSWORD</t>
        </is>
      </c>
      <c r="N14" s="4" t="inlineStr">
        <is>
          <t>Browser lands on /dashboard (admin is the only role that does); the logout control is visible</t>
        </is>
      </c>
      <c r="O14" s="14" t="inlineStr">
        <is>
          <t>High</t>
        </is>
      </c>
      <c r="P14" s="15" t="inlineStr">
        <is>
          <t>P2</t>
        </is>
      </c>
      <c r="Q14" s="4" t="inlineStr">
        <is>
          <t>P2</t>
        </is>
      </c>
      <c r="R14" s="4" t="inlineStr">
        <is>
          <t>N</t>
        </is>
      </c>
      <c r="S14" s="4" t="inlineStr">
        <is>
          <t>Y</t>
        </is>
      </c>
      <c r="T14" s="4" t="inlineStr">
        <is>
          <t>N</t>
        </is>
      </c>
      <c r="U14" s="4" t="inlineStr">
        <is>
          <t>Screenshot attached on pass AND fail; trace/video on failure; diagnostics.json (console + 5xx)</t>
        </is>
      </c>
      <c r="V14" s="13" t="inlineStr">
        <is>
          <t>Automated</t>
        </is>
      </c>
      <c r="W14" s="4" t="inlineStr">
        <is>
          <t>tests/ui/auth.spec.js</t>
        </is>
      </c>
      <c r="X14" s="4" t="inlineStr"/>
      <c r="Y14" s="4" t="inlineStr"/>
      <c r="Z14" s="4" t="inlineStr"/>
      <c r="AA14" s="4" t="inlineStr">
        <is>
          <t>@regression @authentication @p2 @smoke</t>
        </is>
      </c>
      <c r="AB14" s="13" t="inlineStr">
        <is>
          <t>Passed</t>
        </is>
      </c>
      <c r="AC14" s="13" t="inlineStr">
        <is>
          <t>Passed</t>
        </is>
      </c>
      <c r="AD14" s="13" t="inlineStr">
        <is>
          <t>Passed</t>
        </is>
      </c>
      <c r="AE14" s="13" t="inlineStr">
        <is>
          <t>Passed</t>
        </is>
      </c>
      <c r="AF14" s="13" t="inlineStr">
        <is>
          <t>Passed</t>
        </is>
      </c>
      <c r="AG14" s="4" t="inlineStr"/>
    </row>
    <row r="15">
      <c r="A15" s="4" t="inlineStr">
        <is>
          <t>TC-AUTH-V10</t>
        </is>
      </c>
      <c r="B15" s="4" t="inlineStr">
        <is>
          <t>Session timeout redirects to login</t>
        </is>
      </c>
      <c r="C15" s="4" t="inlineStr">
        <is>
          <t>Authentication &amp; Session</t>
        </is>
      </c>
      <c r="D15" s="4" t="inlineStr">
        <is>
          <t>AUTH-V10</t>
        </is>
      </c>
      <c r="E15" s="4" t="inlineStr">
        <is>
          <t>S1+</t>
        </is>
      </c>
      <c r="F15" s="4" t="inlineStr">
        <is>
          <t>R05</t>
        </is>
      </c>
      <c r="G15" s="4" t="inlineStr"/>
      <c r="H15" s="11" t="inlineStr"/>
      <c r="I15" s="4" t="inlineStr">
        <is>
          <t>UI Boundary</t>
        </is>
      </c>
      <c r="J15" s="4" t="inlineStr">
        <is>
          <t>UI</t>
        </is>
      </c>
      <c r="K15" s="4" t="inlineStr">
        <is>
          <t>Valid agent (AGENT_VALID) signed in via saved session; environment reachable</t>
        </is>
      </c>
      <c r="L15" s="4" t="inlineStr">
        <is>
          <t>1. Log in
2. Stay idle for SESSION_TIMEOUT_SECONDS + 2 seconds
3. Navigate to a protected page</t>
        </is>
      </c>
      <c r="M15" s="4" t="inlineStr">
        <is>
          <t>SESSION_TIMEOUT_SECONDS (short value on a test environment)</t>
        </is>
      </c>
      <c r="N15" s="4" t="inlineStr">
        <is>
          <t>The expired session is redirected to /login</t>
        </is>
      </c>
      <c r="O15" s="14" t="inlineStr">
        <is>
          <t>High</t>
        </is>
      </c>
      <c r="P15" s="15" t="inlineStr">
        <is>
          <t>P2</t>
        </is>
      </c>
      <c r="Q15" s="4" t="inlineStr">
        <is>
          <t>P2</t>
        </is>
      </c>
      <c r="R15" s="4" t="inlineStr">
        <is>
          <t>N</t>
        </is>
      </c>
      <c r="S15" s="4" t="inlineStr">
        <is>
          <t>N</t>
        </is>
      </c>
      <c r="T15" s="4" t="inlineStr">
        <is>
          <t>N</t>
        </is>
      </c>
      <c r="U15" s="4" t="inlineStr">
        <is>
          <t>Screenshot + trace on failure</t>
        </is>
      </c>
      <c r="V15" s="13" t="inlineStr">
        <is>
          <t>Automated</t>
        </is>
      </c>
      <c r="W15" s="4" t="inlineStr">
        <is>
          <t>tests/ui/auth.spec.js</t>
        </is>
      </c>
      <c r="X15" s="4" t="inlineStr">
        <is>
          <t>Set SESSION_TIMEOUT_SECONDS (Q07); keep it small</t>
        </is>
      </c>
      <c r="Y15" s="4" t="inlineStr">
        <is>
          <t>Q07</t>
        </is>
      </c>
      <c r="Z15" s="4" t="inlineStr"/>
      <c r="AA15" s="4" t="inlineStr">
        <is>
          <t>@regression @authentication @p2</t>
        </is>
      </c>
      <c r="AB15" s="15" t="inlineStr">
        <is>
          <t>Not in smoke scope</t>
        </is>
      </c>
      <c r="AC15" s="15" t="inlineStr">
        <is>
          <t>Failed or skipped (not itemised)</t>
        </is>
      </c>
      <c r="AD15" s="15" t="inlineStr">
        <is>
          <t>Not in smoke scope</t>
        </is>
      </c>
      <c r="AE15" s="15" t="inlineStr">
        <is>
          <t>Not in smoke scope</t>
        </is>
      </c>
      <c r="AF15" s="15" t="inlineStr">
        <is>
          <t>Not in smoke scope</t>
        </is>
      </c>
      <c r="AG15" s="4" t="inlineStr"/>
    </row>
    <row r="16">
      <c r="A16" s="4" t="inlineStr">
        <is>
          <t>TC-AUTH-V11</t>
        </is>
      </c>
      <c r="B16" s="4" t="inlineStr">
        <is>
          <t>Forgot-password flow (/forgot-password)</t>
        </is>
      </c>
      <c r="C16" s="4" t="inlineStr">
        <is>
          <t>Authentication &amp; Session</t>
        </is>
      </c>
      <c r="D16" s="4" t="inlineStr">
        <is>
          <t>AUTH-V11</t>
        </is>
      </c>
      <c r="E16" s="4" t="inlineStr">
        <is>
          <t>S1+</t>
        </is>
      </c>
      <c r="F16" s="4" t="inlineStr">
        <is>
          <t>R06</t>
        </is>
      </c>
      <c r="G16" s="4" t="inlineStr"/>
      <c r="H16" s="11" t="inlineStr"/>
      <c r="I16" s="4" t="inlineStr">
        <is>
          <t>UI Positive</t>
        </is>
      </c>
      <c r="J16" s="4" t="inlineStr">
        <is>
          <t>UI</t>
        </is>
      </c>
      <c r="K16" s="4" t="inlineStr">
        <is>
          <t>Browser has no session</t>
        </is>
      </c>
      <c r="L16" s="4" t="inlineStr">
        <is>
          <t>1. Open /login
2. Click the forgot-password link
3. Enter the agent email
4. Submit</t>
        </is>
      </c>
      <c r="M16" s="4" t="inlineStr">
        <is>
          <t>AGENT_VALID_EMAIL / AGENT_VALID_PASSWORD</t>
        </is>
      </c>
      <c r="N16" s="4" t="inlineStr">
        <is>
          <t>The forgot-password page opens and submitting a known email shows a confirmation or the OTP step (no error)</t>
        </is>
      </c>
      <c r="O16" s="13" t="inlineStr">
        <is>
          <t>Low</t>
        </is>
      </c>
      <c r="P16" s="15" t="inlineStr">
        <is>
          <t>P3</t>
        </is>
      </c>
      <c r="Q16" s="4" t="inlineStr">
        <is>
          <t>P3</t>
        </is>
      </c>
      <c r="R16" s="4" t="inlineStr">
        <is>
          <t>N</t>
        </is>
      </c>
      <c r="S16" s="4" t="inlineStr">
        <is>
          <t>N</t>
        </is>
      </c>
      <c r="T16" s="4" t="inlineStr">
        <is>
          <t>N</t>
        </is>
      </c>
      <c r="U16" s="4" t="inlineStr">
        <is>
          <t>Screenshot + trace on failure</t>
        </is>
      </c>
      <c r="V16" s="13" t="inlineStr">
        <is>
          <t>Automated</t>
        </is>
      </c>
      <c r="W16" s="4" t="inlineStr">
        <is>
          <t>tests/ui/auth.spec.js</t>
        </is>
      </c>
      <c r="X16" s="4" t="inlineStr"/>
      <c r="Y16" s="4" t="inlineStr"/>
      <c r="Z16" s="4" t="inlineStr"/>
      <c r="AA16" s="4" t="inlineStr">
        <is>
          <t>@regression @authentication @p3</t>
        </is>
      </c>
      <c r="AB16" s="15" t="inlineStr">
        <is>
          <t>Not in smoke scope</t>
        </is>
      </c>
      <c r="AC16" s="13" t="inlineStr">
        <is>
          <t>Passed</t>
        </is>
      </c>
      <c r="AD16" s="15" t="inlineStr">
        <is>
          <t>Not in smoke scope</t>
        </is>
      </c>
      <c r="AE16" s="15" t="inlineStr">
        <is>
          <t>Not in smoke scope</t>
        </is>
      </c>
      <c r="AF16" s="15" t="inlineStr">
        <is>
          <t>Not in smoke scope</t>
        </is>
      </c>
      <c r="AG16" s="4" t="inlineStr"/>
    </row>
    <row r="17">
      <c r="A17" s="4" t="inlineStr">
        <is>
          <t>TC-AUTH-V12</t>
        </is>
      </c>
      <c r="B17" s="4" t="inlineStr">
        <is>
          <t>Reset OTP: wrong OTP rejected; correct OTP reaches new-password step</t>
        </is>
      </c>
      <c r="C17" s="4" t="inlineStr">
        <is>
          <t>Authentication &amp; Session</t>
        </is>
      </c>
      <c r="D17" s="4" t="inlineStr">
        <is>
          <t>AUTH-V12</t>
        </is>
      </c>
      <c r="E17" s="4" t="inlineStr">
        <is>
          <t>S2+</t>
        </is>
      </c>
      <c r="F17" s="4" t="inlineStr">
        <is>
          <t>R06</t>
        </is>
      </c>
      <c r="G17" s="4" t="inlineStr"/>
      <c r="H17" s="11" t="inlineStr"/>
      <c r="I17" s="4" t="inlineStr">
        <is>
          <t>UI Negative</t>
        </is>
      </c>
      <c r="J17" s="4" t="inlineStr">
        <is>
          <t>UI</t>
        </is>
      </c>
      <c r="K17" s="4" t="inlineStr">
        <is>
          <t>DISPOSABLE reset agent (AGENT_RESET); simulated OTP known (OTP_CODE)</t>
        </is>
      </c>
      <c r="L17" s="4" t="inlineStr">
        <is>
          <t>1. Open /forgot-password and request a reset
2. Enter a WRONG OTP
3. Enter the correct OTP</t>
        </is>
      </c>
      <c r="M17" s="4" t="inlineStr">
        <is>
          <t>AGENT_RESET_EMAIL; OTP_CODE</t>
        </is>
      </c>
      <c r="N17" s="4" t="inlineStr">
        <is>
          <t>Wrong OTP shows an OTP error and does not advance; correct OTP shows the new-password fields (password is NOT changed by this test)</t>
        </is>
      </c>
      <c r="O17" s="14" t="inlineStr">
        <is>
          <t>High</t>
        </is>
      </c>
      <c r="P17" s="15" t="inlineStr">
        <is>
          <t>P2</t>
        </is>
      </c>
      <c r="Q17" s="4" t="inlineStr">
        <is>
          <t>P2</t>
        </is>
      </c>
      <c r="R17" s="4" t="inlineStr">
        <is>
          <t>N</t>
        </is>
      </c>
      <c r="S17" s="4" t="inlineStr">
        <is>
          <t>N</t>
        </is>
      </c>
      <c r="T17" s="4" t="inlineStr">
        <is>
          <t>N</t>
        </is>
      </c>
      <c r="U17" s="4" t="inlineStr">
        <is>
          <t>Screenshot + trace on failure</t>
        </is>
      </c>
      <c r="V17" s="13" t="inlineStr">
        <is>
          <t>Automated</t>
        </is>
      </c>
      <c r="W17" s="4" t="inlineStr">
        <is>
          <t>tests/ui/auth.spec.js</t>
        </is>
      </c>
      <c r="X17" s="4" t="inlineStr">
        <is>
          <t>Set AGENT_RESET_EMAIL and OTP_CODE (Q08)</t>
        </is>
      </c>
      <c r="Y17" s="4" t="inlineStr">
        <is>
          <t>Q08</t>
        </is>
      </c>
      <c r="Z17" s="4" t="inlineStr"/>
      <c r="AA17" s="4" t="inlineStr">
        <is>
          <t>@regression @authentication @p2</t>
        </is>
      </c>
      <c r="AB17" s="15" t="inlineStr">
        <is>
          <t>Not in smoke scope</t>
        </is>
      </c>
      <c r="AC17" s="15" t="inlineStr">
        <is>
          <t>Failed or skipped (not itemised)</t>
        </is>
      </c>
      <c r="AD17" s="15" t="inlineStr">
        <is>
          <t>Not in smoke scope</t>
        </is>
      </c>
      <c r="AE17" s="15" t="inlineStr">
        <is>
          <t>Not in smoke scope</t>
        </is>
      </c>
      <c r="AF17" s="15" t="inlineStr">
        <is>
          <t>Not in smoke scope</t>
        </is>
      </c>
      <c r="AG17" s="4" t="inlineStr"/>
    </row>
    <row r="18">
      <c r="A18" s="4" t="inlineStr">
        <is>
          <t>TC-AUTH-V13</t>
        </is>
      </c>
      <c r="B18" s="4" t="inlineStr">
        <is>
          <t>New password identical to the current password is rejected</t>
        </is>
      </c>
      <c r="C18" s="4" t="inlineStr">
        <is>
          <t>Authentication &amp; Session</t>
        </is>
      </c>
      <c r="D18" s="4" t="inlineStr">
        <is>
          <t>AUTH-V13</t>
        </is>
      </c>
      <c r="E18" s="4" t="inlineStr">
        <is>
          <t>S2+</t>
        </is>
      </c>
      <c r="F18" s="4" t="inlineStr">
        <is>
          <t>R06</t>
        </is>
      </c>
      <c r="G18" s="4" t="inlineStr">
        <is>
          <t>RI-03: Password policy not consistently enforced</t>
        </is>
      </c>
      <c r="H18" s="11" t="inlineStr"/>
      <c r="I18" s="4" t="inlineStr">
        <is>
          <t>UI Negative</t>
        </is>
      </c>
      <c r="J18" s="4" t="inlineStr">
        <is>
          <t>UI</t>
        </is>
      </c>
      <c r="K18" s="4" t="inlineStr">
        <is>
          <t>DISPOSABLE reset agent (AGENT_RESET); OTP_CODE known</t>
        </is>
      </c>
      <c r="L18" s="4" t="inlineStr">
        <is>
          <t>1. Request reset and pass the OTP step
2. Enter the CURRENT password as the new password and confirm
3. Submit</t>
        </is>
      </c>
      <c r="M18" s="4" t="inlineStr">
        <is>
          <t>AGENT_RESET_EMAIL / AGENT_RESET_PASSWORD; OTP_CODE</t>
        </is>
      </c>
      <c r="N18" s="4" t="inlineStr">
        <is>
          <t>Rejected with a "must differ from current password" style message</t>
        </is>
      </c>
      <c r="O18" s="16" t="inlineStr">
        <is>
          <t>Medium</t>
        </is>
      </c>
      <c r="P18" s="15" t="inlineStr">
        <is>
          <t>P2</t>
        </is>
      </c>
      <c r="Q18" s="4" t="inlineStr">
        <is>
          <t>P2</t>
        </is>
      </c>
      <c r="R18" s="4" t="inlineStr">
        <is>
          <t>N</t>
        </is>
      </c>
      <c r="S18" s="4" t="inlineStr">
        <is>
          <t>N</t>
        </is>
      </c>
      <c r="T18" s="4" t="inlineStr">
        <is>
          <t>N</t>
        </is>
      </c>
      <c r="U18" s="4" t="inlineStr">
        <is>
          <t>Screenshot attached on pass AND fail; trace/video on failure; diagnostics.json (console + 5xx)</t>
        </is>
      </c>
      <c r="V18" s="13" t="inlineStr">
        <is>
          <t>Automated</t>
        </is>
      </c>
      <c r="W18" s="4" t="inlineStr">
        <is>
          <t>tests/ui/auth.spec.js</t>
        </is>
      </c>
      <c r="X18" s="4" t="inlineStr">
        <is>
          <t>Set AGENT_RESET_EMAIL and OTP_CODE</t>
        </is>
      </c>
      <c r="Y18" s="4" t="inlineStr"/>
      <c r="Z18" s="4" t="inlineStr"/>
      <c r="AA18" s="4" t="inlineStr">
        <is>
          <t>@regression @authentication @p2 @seeded</t>
        </is>
      </c>
      <c r="AB18" s="15" t="inlineStr">
        <is>
          <t>Not in smoke scope</t>
        </is>
      </c>
      <c r="AC18" s="15" t="inlineStr">
        <is>
          <t>Failed or skipped (not itemised)</t>
        </is>
      </c>
      <c r="AD18" s="15" t="inlineStr">
        <is>
          <t>Not in smoke scope</t>
        </is>
      </c>
      <c r="AE18" s="15" t="inlineStr">
        <is>
          <t>Not in smoke scope</t>
        </is>
      </c>
      <c r="AF18" s="15" t="inlineStr">
        <is>
          <t>Not in smoke scope</t>
        </is>
      </c>
      <c r="AG18" s="4" t="inlineStr"/>
    </row>
    <row r="19">
      <c r="A19" s="4" t="inlineStr">
        <is>
          <t>TC-DASH-V01</t>
        </is>
      </c>
      <c r="B19" s="4" t="inlineStr">
        <is>
          <t>Dashboard loads: draft/submitted summary and New Application CTA</t>
        </is>
      </c>
      <c r="C19" s="4" t="inlineStr">
        <is>
          <t>Agent Dashboard</t>
        </is>
      </c>
      <c r="D19" s="4" t="inlineStr">
        <is>
          <t>DASH-V01</t>
        </is>
      </c>
      <c r="E19" s="4" t="inlineStr">
        <is>
          <t>S1</t>
        </is>
      </c>
      <c r="F19" s="4" t="inlineStr">
        <is>
          <t>R07</t>
        </is>
      </c>
      <c r="G19" s="4" t="inlineStr"/>
      <c r="H19" s="11" t="inlineStr"/>
      <c r="I19" s="4" t="inlineStr">
        <is>
          <t>UI Positive</t>
        </is>
      </c>
      <c r="J19" s="4" t="inlineStr">
        <is>
          <t>UI</t>
        </is>
      </c>
      <c r="K19" s="4" t="inlineStr">
        <is>
          <t>Valid agent (AGENT_VALID) signed in via saved session; environment reachable</t>
        </is>
      </c>
      <c r="L19" s="4" t="inlineStr">
        <is>
          <t>1. Open the dashboard</t>
        </is>
      </c>
      <c r="M19" s="4" t="inlineStr">
        <is>
          <t>Generated synthetic data (utils/dataBuilder.js)</t>
        </is>
      </c>
      <c r="N19" s="4" t="inlineStr">
        <is>
          <t>New Application control is visible; draft and submitted summary figures are displayed as numbers</t>
        </is>
      </c>
      <c r="O19" s="14" t="inlineStr">
        <is>
          <t>High</t>
        </is>
      </c>
      <c r="P19" s="15" t="inlineStr">
        <is>
          <t>P2</t>
        </is>
      </c>
      <c r="Q19" s="4" t="inlineStr">
        <is>
          <t>P1</t>
        </is>
      </c>
      <c r="R19" s="4" t="inlineStr">
        <is>
          <t>N</t>
        </is>
      </c>
      <c r="S19" s="4" t="inlineStr">
        <is>
          <t>Y</t>
        </is>
      </c>
      <c r="T19" s="4" t="inlineStr">
        <is>
          <t>N</t>
        </is>
      </c>
      <c r="U19" s="4" t="inlineStr">
        <is>
          <t>Screenshot + trace on failure</t>
        </is>
      </c>
      <c r="V19" s="13" t="inlineStr">
        <is>
          <t>Automated</t>
        </is>
      </c>
      <c r="W19" s="4" t="inlineStr">
        <is>
          <t>tests/ui/dashboard.spec.js</t>
        </is>
      </c>
      <c r="X19" s="4" t="inlineStr"/>
      <c r="Y19" s="4" t="inlineStr"/>
      <c r="Z19" s="4" t="inlineStr"/>
      <c r="AA19" s="4" t="inlineStr">
        <is>
          <t>@regression @dashboard @p2 @smoke</t>
        </is>
      </c>
      <c r="AB19" s="13" t="inlineStr">
        <is>
          <t>Passed</t>
        </is>
      </c>
      <c r="AC19" s="14" t="inlineStr">
        <is>
          <t>Not passed - investigate</t>
        </is>
      </c>
      <c r="AD19" s="13" t="inlineStr">
        <is>
          <t>Passed</t>
        </is>
      </c>
      <c r="AE19" s="13" t="inlineStr">
        <is>
          <t>Passed</t>
        </is>
      </c>
      <c r="AF19" s="13" t="inlineStr">
        <is>
          <t>Passed</t>
        </is>
      </c>
      <c r="AG19" s="4" t="inlineStr">
        <is>
          <t>AD-07</t>
        </is>
      </c>
    </row>
    <row r="20">
      <c r="A20" s="4" t="inlineStr">
        <is>
          <t>TC-DASH-V02</t>
        </is>
      </c>
      <c r="B20" s="4" t="inlineStr">
        <is>
          <t>Agent sees only own applications (multi-agent isolation)</t>
        </is>
      </c>
      <c r="C20" s="4" t="inlineStr">
        <is>
          <t>Agent Dashboard</t>
        </is>
      </c>
      <c r="D20" s="4" t="inlineStr">
        <is>
          <t>DASH-V02</t>
        </is>
      </c>
      <c r="E20" s="4" t="inlineStr">
        <is>
          <t>S1</t>
        </is>
      </c>
      <c r="F20" s="4" t="inlineStr">
        <is>
          <t>R08</t>
        </is>
      </c>
      <c r="G20" s="4" t="inlineStr"/>
      <c r="H20" s="11" t="inlineStr"/>
      <c r="I20" s="4" t="inlineStr">
        <is>
          <t>UI Security</t>
        </is>
      </c>
      <c r="J20" s="4" t="inlineStr">
        <is>
          <t>UI + API</t>
        </is>
      </c>
      <c r="K20" s="4" t="inlineStr">
        <is>
          <t>Two seeded agents (AGENT_VALID, AGENT_SECOND), each with applications</t>
        </is>
      </c>
      <c r="L20" s="4" t="inlineStr">
        <is>
          <t>1. Open dashboard as agent A and collect row identifiers
2. Open dashboard as agent B and collect row identifiers
3. Compare the two sets</t>
        </is>
      </c>
      <c r="M20" s="4" t="inlineStr">
        <is>
          <t>AGENT_VALID_*, AGENT_SECOND_*</t>
        </is>
      </c>
      <c r="N20" s="4" t="inlineStr">
        <is>
          <t>The two sets of application rows do not overlap</t>
        </is>
      </c>
      <c r="O20" s="12" t="inlineStr">
        <is>
          <t>Critical</t>
        </is>
      </c>
      <c r="P20" s="12" t="inlineStr">
        <is>
          <t>P1</t>
        </is>
      </c>
      <c r="Q20" s="4" t="inlineStr">
        <is>
          <t>P1</t>
        </is>
      </c>
      <c r="R20" s="4" t="inlineStr">
        <is>
          <t>Y</t>
        </is>
      </c>
      <c r="S20" s="4" t="inlineStr">
        <is>
          <t>N</t>
        </is>
      </c>
      <c r="T20" s="4" t="inlineStr">
        <is>
          <t>N</t>
        </is>
      </c>
      <c r="U20" s="4" t="inlineStr">
        <is>
          <t>Screenshot + trace on failure</t>
        </is>
      </c>
      <c r="V20" s="13" t="inlineStr">
        <is>
          <t>Automated</t>
        </is>
      </c>
      <c r="W20" s="4" t="inlineStr">
        <is>
          <t>tests/ui/dashboard.spec.js</t>
        </is>
      </c>
      <c r="X20" s="4" t="inlineStr">
        <is>
          <t>Second agent defaults to learner001 (confirmed seeded); override with AGENT_SECOND_EMAIL</t>
        </is>
      </c>
      <c r="Y20" s="4" t="inlineStr"/>
      <c r="Z20" s="4" t="inlineStr"/>
      <c r="AA20" s="4" t="inlineStr">
        <is>
          <t>@regression @dashboard @p1 @release-gate @api</t>
        </is>
      </c>
      <c r="AB20" s="15" t="inlineStr">
        <is>
          <t>Not in smoke scope</t>
        </is>
      </c>
      <c r="AC20" s="15" t="inlineStr">
        <is>
          <t>Failed or skipped (not itemised)</t>
        </is>
      </c>
      <c r="AD20" s="15" t="inlineStr">
        <is>
          <t>Not in smoke scope</t>
        </is>
      </c>
      <c r="AE20" s="15" t="inlineStr">
        <is>
          <t>Not in smoke scope</t>
        </is>
      </c>
      <c r="AF20" s="15" t="inlineStr">
        <is>
          <t>Not in smoke scope</t>
        </is>
      </c>
      <c r="AG20" s="4" t="inlineStr"/>
    </row>
    <row r="21">
      <c r="A21" s="4" t="inlineStr">
        <is>
          <t>TC-DASH-V03</t>
        </is>
      </c>
      <c r="B21" s="4" t="inlineStr">
        <is>
          <t>New agent sees empty-state copy and CTA</t>
        </is>
      </c>
      <c r="C21" s="4" t="inlineStr">
        <is>
          <t>Agent Dashboard</t>
        </is>
      </c>
      <c r="D21" s="4" t="inlineStr">
        <is>
          <t>DASH-V03</t>
        </is>
      </c>
      <c r="E21" s="4" t="inlineStr">
        <is>
          <t>S1</t>
        </is>
      </c>
      <c r="F21" s="4" t="inlineStr">
        <is>
          <t>R07</t>
        </is>
      </c>
      <c r="G21" s="4" t="inlineStr"/>
      <c r="H21" s="11" t="inlineStr"/>
      <c r="I21" s="4" t="inlineStr">
        <is>
          <t>UI Positive</t>
        </is>
      </c>
      <c r="J21" s="4" t="inlineStr">
        <is>
          <t>UI</t>
        </is>
      </c>
      <c r="K21" s="4" t="inlineStr">
        <is>
          <t>Seeded NEW agent (AGENT_NEW) with zero applications</t>
        </is>
      </c>
      <c r="L21" s="4" t="inlineStr">
        <is>
          <t>1. Sign in as the new agent
2. Open the dashboard</t>
        </is>
      </c>
      <c r="M21" s="4" t="inlineStr">
        <is>
          <t>AGENT_NEW_*</t>
        </is>
      </c>
      <c r="N21" s="4" t="inlineStr">
        <is>
          <t>Empty-state text and the New Application control are visible; no application rows</t>
        </is>
      </c>
      <c r="O21" s="13" t="inlineStr">
        <is>
          <t>Low</t>
        </is>
      </c>
      <c r="P21" s="15" t="inlineStr">
        <is>
          <t>P3</t>
        </is>
      </c>
      <c r="Q21" s="4" t="inlineStr">
        <is>
          <t>P3</t>
        </is>
      </c>
      <c r="R21" s="4" t="inlineStr">
        <is>
          <t>N</t>
        </is>
      </c>
      <c r="S21" s="4" t="inlineStr">
        <is>
          <t>N</t>
        </is>
      </c>
      <c r="T21" s="4" t="inlineStr">
        <is>
          <t>N</t>
        </is>
      </c>
      <c r="U21" s="4" t="inlineStr">
        <is>
          <t>Screenshot + trace on failure</t>
        </is>
      </c>
      <c r="V21" s="13" t="inlineStr">
        <is>
          <t>Automated</t>
        </is>
      </c>
      <c r="W21" s="4" t="inlineStr">
        <is>
          <t>tests/ui/dashboard.spec.js</t>
        </is>
      </c>
      <c r="X21" s="4" t="inlineStr">
        <is>
          <t>agent.new is a confirmed seeded account, but login auto-creates a draft (BR-AUTH-010) so the empty state may never appear - verify on the lab</t>
        </is>
      </c>
      <c r="Y21" s="4" t="inlineStr"/>
      <c r="Z21" s="4" t="inlineStr"/>
      <c r="AA21" s="4" t="inlineStr">
        <is>
          <t>@regression @dashboard @p3</t>
        </is>
      </c>
      <c r="AB21" s="15" t="inlineStr">
        <is>
          <t>Not in smoke scope</t>
        </is>
      </c>
      <c r="AC21" s="15" t="inlineStr">
        <is>
          <t>Failed or skipped (not itemised)</t>
        </is>
      </c>
      <c r="AD21" s="15" t="inlineStr">
        <is>
          <t>Not in smoke scope</t>
        </is>
      </c>
      <c r="AE21" s="15" t="inlineStr">
        <is>
          <t>Not in smoke scope</t>
        </is>
      </c>
      <c r="AF21" s="15" t="inlineStr">
        <is>
          <t>Not in smoke scope</t>
        </is>
      </c>
      <c r="AG21" s="4" t="inlineStr">
        <is>
          <t>CL-02</t>
        </is>
      </c>
    </row>
    <row r="22">
      <c r="A22" s="4" t="inlineStr">
        <is>
          <t>TC-DASH-V04</t>
        </is>
      </c>
      <c r="B22" s="4" t="inlineStr">
        <is>
          <t>Draft can be resumed from dashboard with saved data</t>
        </is>
      </c>
      <c r="C22" s="4" t="inlineStr">
        <is>
          <t>Agent Dashboard</t>
        </is>
      </c>
      <c r="D22" s="4" t="inlineStr">
        <is>
          <t>DASH-V04</t>
        </is>
      </c>
      <c r="E22" s="4" t="inlineStr">
        <is>
          <t>S1</t>
        </is>
      </c>
      <c r="F22" s="4" t="inlineStr">
        <is>
          <t>R09</t>
        </is>
      </c>
      <c r="G22" s="4" t="inlineStr">
        <is>
          <t>RI-16: Draft data not persisted</t>
        </is>
      </c>
      <c r="H22" s="11" t="inlineStr">
        <is>
          <t>SDC-16</t>
        </is>
      </c>
      <c r="I22" s="4" t="inlineStr">
        <is>
          <t>UI Positive</t>
        </is>
      </c>
      <c r="J22" s="4" t="inlineStr">
        <is>
          <t>UI</t>
        </is>
      </c>
      <c r="K22" s="4" t="inlineStr">
        <is>
          <t>Valid agent (AGENT_VALID) signed in via saved session; environment reachable; client step reachable</t>
        </is>
      </c>
      <c r="L22" s="4" t="inlineStr">
        <is>
          <t>1. Start a new application
2. Fill the client step and Save draft
3. Go to the dashboard
4. Resume the draft row
5. Read the client first name</t>
        </is>
      </c>
      <c r="M22" s="4" t="inlineStr">
        <is>
          <t>Generated synthetic data (utils/dataBuilder.js)</t>
        </is>
      </c>
      <c r="N22" s="4" t="inlineStr">
        <is>
          <t>The resumed draft shows the client first name that was saved</t>
        </is>
      </c>
      <c r="O22" s="14" t="inlineStr">
        <is>
          <t>High</t>
        </is>
      </c>
      <c r="P22" s="15" t="inlineStr">
        <is>
          <t>P2</t>
        </is>
      </c>
      <c r="Q22" s="4" t="inlineStr">
        <is>
          <t>P2</t>
        </is>
      </c>
      <c r="R22" s="4" t="inlineStr">
        <is>
          <t>N</t>
        </is>
      </c>
      <c r="S22" s="4" t="inlineStr">
        <is>
          <t>N</t>
        </is>
      </c>
      <c r="T22" s="4" t="inlineStr">
        <is>
          <t>N</t>
        </is>
      </c>
      <c r="U22" s="4" t="inlineStr">
        <is>
          <t>Screenshot attached on pass AND fail; trace/video on failure; diagnostics.json (console + 5xx)</t>
        </is>
      </c>
      <c r="V22" s="13" t="inlineStr">
        <is>
          <t>Automated</t>
        </is>
      </c>
      <c r="W22" s="4" t="inlineStr">
        <is>
          <t>tests/ui/dashboard.spec.js</t>
        </is>
      </c>
      <c r="X22" s="4" t="inlineStr"/>
      <c r="Y22" s="4" t="inlineStr"/>
      <c r="Z22" s="4" t="inlineStr"/>
      <c r="AA22" s="4" t="inlineStr">
        <is>
          <t>@regression @dashboard @p2 @seeded</t>
        </is>
      </c>
      <c r="AB22" s="15" t="inlineStr">
        <is>
          <t>Not in smoke scope</t>
        </is>
      </c>
      <c r="AC22" s="15" t="inlineStr">
        <is>
          <t>Failed or skipped (not itemised)</t>
        </is>
      </c>
      <c r="AD22" s="15" t="inlineStr">
        <is>
          <t>Not in smoke scope</t>
        </is>
      </c>
      <c r="AE22" s="15" t="inlineStr">
        <is>
          <t>Not in smoke scope</t>
        </is>
      </c>
      <c r="AF22" s="15" t="inlineStr">
        <is>
          <t>Not in smoke scope</t>
        </is>
      </c>
      <c r="AG22" s="4" t="inlineStr"/>
    </row>
    <row r="23">
      <c r="A23" s="4" t="inlineStr">
        <is>
          <t>TC-DASH-V05</t>
        </is>
      </c>
      <c r="B23" s="4" t="inlineStr">
        <is>
          <t>Status filters (Draft/Submitted/Approved) return correct rows</t>
        </is>
      </c>
      <c r="C23" s="4" t="inlineStr">
        <is>
          <t>Agent Dashboard</t>
        </is>
      </c>
      <c r="D23" s="4" t="inlineStr">
        <is>
          <t>DASH-V05</t>
        </is>
      </c>
      <c r="E23" s="4" t="inlineStr">
        <is>
          <t>S1</t>
        </is>
      </c>
      <c r="F23" s="4" t="inlineStr">
        <is>
          <t>R07</t>
        </is>
      </c>
      <c r="G23" s="4" t="inlineStr"/>
      <c r="H23" s="11" t="inlineStr"/>
      <c r="I23" s="4" t="inlineStr">
        <is>
          <t>UI Positive</t>
        </is>
      </c>
      <c r="J23" s="4" t="inlineStr">
        <is>
          <t>UI</t>
        </is>
      </c>
      <c r="K23" s="4" t="inlineStr">
        <is>
          <t>Valid agent (AGENT_VALID) signed in via saved session; environment reachable</t>
        </is>
      </c>
      <c r="L23" s="4" t="inlineStr">
        <is>
          <t>1. Open the dashboard
2. For each status filter value (Draft, Submitted, Approved) apply the filter
3. Read the status of every visible row</t>
        </is>
      </c>
      <c r="M23" s="4" t="inlineStr">
        <is>
          <t>Generated synthetic data (utils/dataBuilder.js)</t>
        </is>
      </c>
      <c r="N23" s="4" t="inlineStr">
        <is>
          <t>Every visible row has the selected status (an empty result is acceptable only if no such applications exist)</t>
        </is>
      </c>
      <c r="O23" s="16" t="inlineStr">
        <is>
          <t>Medium</t>
        </is>
      </c>
      <c r="P23" s="15" t="inlineStr">
        <is>
          <t>P2</t>
        </is>
      </c>
      <c r="Q23" s="4" t="inlineStr">
        <is>
          <t>P2</t>
        </is>
      </c>
      <c r="R23" s="4" t="inlineStr">
        <is>
          <t>N</t>
        </is>
      </c>
      <c r="S23" s="4" t="inlineStr">
        <is>
          <t>N</t>
        </is>
      </c>
      <c r="T23" s="4" t="inlineStr">
        <is>
          <t>N</t>
        </is>
      </c>
      <c r="U23" s="4" t="inlineStr">
        <is>
          <t>Screenshot + trace on failure</t>
        </is>
      </c>
      <c r="V23" s="13" t="inlineStr">
        <is>
          <t>Automated</t>
        </is>
      </c>
      <c r="W23" s="4" t="inlineStr">
        <is>
          <t>tests/ui/dashboard.spec.js</t>
        </is>
      </c>
      <c r="X23" s="4" t="inlineStr"/>
      <c r="Y23" s="4" t="inlineStr"/>
      <c r="Z23" s="4" t="inlineStr"/>
      <c r="AA23" s="4" t="inlineStr">
        <is>
          <t>@regression @dashboard @p2</t>
        </is>
      </c>
      <c r="AB23" s="15" t="inlineStr">
        <is>
          <t>Not in smoke scope</t>
        </is>
      </c>
      <c r="AC23" s="15" t="inlineStr">
        <is>
          <t>Failed or skipped (not itemised)</t>
        </is>
      </c>
      <c r="AD23" s="15" t="inlineStr">
        <is>
          <t>Not in smoke scope</t>
        </is>
      </c>
      <c r="AE23" s="15" t="inlineStr">
        <is>
          <t>Not in smoke scope</t>
        </is>
      </c>
      <c r="AF23" s="15" t="inlineStr">
        <is>
          <t>Not in smoke scope</t>
        </is>
      </c>
      <c r="AG23" s="4" t="inlineStr">
        <is>
          <t>CL-01</t>
        </is>
      </c>
    </row>
    <row r="24">
      <c r="A24" s="4" t="inlineStr">
        <is>
          <t>TC-DASH-V06</t>
        </is>
      </c>
      <c r="B24" s="4" t="inlineStr">
        <is>
          <t>Dashboard status matches Application Status API</t>
        </is>
      </c>
      <c r="C24" s="4" t="inlineStr">
        <is>
          <t>Agent Dashboard</t>
        </is>
      </c>
      <c r="D24" s="4" t="inlineStr">
        <is>
          <t>DASH-V06</t>
        </is>
      </c>
      <c r="E24" s="4" t="inlineStr">
        <is>
          <t>S1</t>
        </is>
      </c>
      <c r="F24" s="4" t="inlineStr">
        <is>
          <t>R07</t>
        </is>
      </c>
      <c r="G24" s="4" t="inlineStr">
        <is>
          <t>RI-18: Dashboard status differs from backend status</t>
        </is>
      </c>
      <c r="H24" s="11" t="inlineStr">
        <is>
          <t>SDC-18</t>
        </is>
      </c>
      <c r="I24" s="4" t="inlineStr">
        <is>
          <t>UI-API Integration</t>
        </is>
      </c>
      <c r="J24" s="4" t="inlineStr">
        <is>
          <t>UI + API</t>
        </is>
      </c>
      <c r="K24" s="4" t="inlineStr">
        <is>
          <t>Valid agent (AGENT_VALID) signed in via saved session; environment reachable</t>
        </is>
      </c>
      <c r="L24" s="4" t="inlineStr">
        <is>
          <t>1. Open the dashboard and read id and status of up to 5 rows
2. Call GET /applications/{id}/status for each
3. Compare</t>
        </is>
      </c>
      <c r="M24" s="4" t="inlineStr">
        <is>
          <t>Generated synthetic data (utils/dataBuilder.js)</t>
        </is>
      </c>
      <c r="N24" s="4" t="inlineStr">
        <is>
          <t>UI status equals API status for every compared application</t>
        </is>
      </c>
      <c r="O24" s="14" t="inlineStr">
        <is>
          <t>High</t>
        </is>
      </c>
      <c r="P24" s="15" t="inlineStr">
        <is>
          <t>P2</t>
        </is>
      </c>
      <c r="Q24" s="4" t="inlineStr">
        <is>
          <t>P1</t>
        </is>
      </c>
      <c r="R24" s="4" t="inlineStr">
        <is>
          <t>N</t>
        </is>
      </c>
      <c r="S24" s="4" t="inlineStr">
        <is>
          <t>N</t>
        </is>
      </c>
      <c r="T24" s="4" t="inlineStr">
        <is>
          <t>N</t>
        </is>
      </c>
      <c r="U24" s="4" t="inlineStr">
        <is>
          <t>Screenshot + API response attached</t>
        </is>
      </c>
      <c r="V24" s="13" t="inlineStr">
        <is>
          <t>Automated</t>
        </is>
      </c>
      <c r="W24" s="4" t="inlineStr">
        <is>
          <t>tests/integration/ui-api.spec.js</t>
        </is>
      </c>
      <c r="X24" s="4" t="inlineStr"/>
      <c r="Y24" s="4" t="inlineStr"/>
      <c r="Z24" s="4" t="inlineStr"/>
      <c r="AA24" s="4" t="inlineStr">
        <is>
          <t>@regression @dashboard @p2 @seeded @api</t>
        </is>
      </c>
      <c r="AB24" s="15" t="inlineStr">
        <is>
          <t>Not in smoke scope</t>
        </is>
      </c>
      <c r="AC24" s="15" t="inlineStr">
        <is>
          <t>Failed or skipped (not itemised)</t>
        </is>
      </c>
      <c r="AD24" s="15" t="inlineStr">
        <is>
          <t>Not in smoke scope</t>
        </is>
      </c>
      <c r="AE24" s="15" t="inlineStr">
        <is>
          <t>Not in smoke scope</t>
        </is>
      </c>
      <c r="AF24" s="15" t="inlineStr">
        <is>
          <t>Not in smoke scope</t>
        </is>
      </c>
      <c r="AG24" s="4" t="inlineStr"/>
    </row>
    <row r="25">
      <c r="A25" s="4" t="inlineStr">
        <is>
          <t>TC-DASH-V07</t>
        </is>
      </c>
      <c r="B25" s="4" t="inlineStr">
        <is>
          <t>Dashboard search returns matching applications</t>
        </is>
      </c>
      <c r="C25" s="4" t="inlineStr">
        <is>
          <t>Agent Dashboard</t>
        </is>
      </c>
      <c r="D25" s="4" t="inlineStr">
        <is>
          <t>DASH-V07</t>
        </is>
      </c>
      <c r="E25" s="4" t="inlineStr">
        <is>
          <t>S1+</t>
        </is>
      </c>
      <c r="F25" s="4" t="inlineStr">
        <is>
          <t>R07</t>
        </is>
      </c>
      <c r="G25" s="4" t="inlineStr"/>
      <c r="H25" s="11" t="inlineStr"/>
      <c r="I25" s="4" t="inlineStr">
        <is>
          <t>UI Positive</t>
        </is>
      </c>
      <c r="J25" s="4" t="inlineStr">
        <is>
          <t>UI</t>
        </is>
      </c>
      <c r="K25" s="4" t="inlineStr">
        <is>
          <t>Valid agent (AGENT_VALID) signed in via saved session; environment reachable; at least one application exists</t>
        </is>
      </c>
      <c r="L25" s="4" t="inlineStr">
        <is>
          <t>1. Open the dashboard
2. Take a search term from the first row
3. Search for it</t>
        </is>
      </c>
      <c r="M25" s="4" t="inlineStr">
        <is>
          <t>Generated synthetic data (utils/dataBuilder.js)</t>
        </is>
      </c>
      <c r="N25" s="4" t="inlineStr">
        <is>
          <t>At least one row is shown and every shown row contains the term</t>
        </is>
      </c>
      <c r="O25" s="13" t="inlineStr">
        <is>
          <t>Low</t>
        </is>
      </c>
      <c r="P25" s="15" t="inlineStr">
        <is>
          <t>P3</t>
        </is>
      </c>
      <c r="Q25" s="4" t="inlineStr">
        <is>
          <t>P3</t>
        </is>
      </c>
      <c r="R25" s="4" t="inlineStr">
        <is>
          <t>N</t>
        </is>
      </c>
      <c r="S25" s="4" t="inlineStr">
        <is>
          <t>N</t>
        </is>
      </c>
      <c r="T25" s="4" t="inlineStr">
        <is>
          <t>N</t>
        </is>
      </c>
      <c r="U25" s="4" t="inlineStr">
        <is>
          <t>Screenshot + trace on failure</t>
        </is>
      </c>
      <c r="V25" s="13" t="inlineStr">
        <is>
          <t>Automated</t>
        </is>
      </c>
      <c r="W25" s="4" t="inlineStr">
        <is>
          <t>tests/ui/dashboard.spec.js</t>
        </is>
      </c>
      <c r="X25" s="4" t="inlineStr"/>
      <c r="Y25" s="4" t="inlineStr"/>
      <c r="Z25" s="4" t="inlineStr"/>
      <c r="AA25" s="4" t="inlineStr">
        <is>
          <t>@regression @dashboard @p3</t>
        </is>
      </c>
      <c r="AB25" s="15" t="inlineStr">
        <is>
          <t>Not in smoke scope</t>
        </is>
      </c>
      <c r="AC25" s="15" t="inlineStr">
        <is>
          <t>Failed or skipped (not itemised)</t>
        </is>
      </c>
      <c r="AD25" s="15" t="inlineStr">
        <is>
          <t>Not in smoke scope</t>
        </is>
      </c>
      <c r="AE25" s="15" t="inlineStr">
        <is>
          <t>Not in smoke scope</t>
        </is>
      </c>
      <c r="AF25" s="15" t="inlineStr">
        <is>
          <t>Not in smoke scope</t>
        </is>
      </c>
      <c r="AG25" s="4" t="inlineStr">
        <is>
          <t>CL-01</t>
        </is>
      </c>
    </row>
    <row r="26">
      <c r="A26" s="4" t="inlineStr">
        <is>
          <t>TC-CLI-V01</t>
        </is>
      </c>
      <c r="B26" s="4" t="inlineStr">
        <is>
          <t>Valid insured personal information enables next step</t>
        </is>
      </c>
      <c r="C26" s="4" t="inlineStr">
        <is>
          <t>Client / Insured Information</t>
        </is>
      </c>
      <c r="D26" s="4" t="inlineStr">
        <is>
          <t>CLI-V01</t>
        </is>
      </c>
      <c r="E26" s="4" t="inlineStr">
        <is>
          <t>S1</t>
        </is>
      </c>
      <c r="F26" s="4" t="inlineStr">
        <is>
          <t>R10</t>
        </is>
      </c>
      <c r="G26" s="4" t="inlineStr"/>
      <c r="H26" s="11" t="inlineStr"/>
      <c r="I26" s="4" t="inlineStr">
        <is>
          <t>UI Positive</t>
        </is>
      </c>
      <c r="J26" s="4" t="inlineStr">
        <is>
          <t>UI</t>
        </is>
      </c>
      <c r="K26" s="4" t="inlineStr">
        <is>
          <t>Valid agent (AGENT_VALID) signed in via saved session; environment reachable; NEW application open at the client step (first step)</t>
        </is>
      </c>
      <c r="L26" s="4" t="inlineStr">
        <is>
          <t>1. Fill every client field with valid data
2. Click Next</t>
        </is>
      </c>
      <c r="M26" s="4" t="inlineStr">
        <is>
          <t>Generated synthetic data (utils/dataBuilder.js)</t>
        </is>
      </c>
      <c r="N26" s="4" t="inlineStr">
        <is>
          <t>Navigation moves to the next step (step title changes) with no validation errors</t>
        </is>
      </c>
      <c r="O26" s="12" t="inlineStr">
        <is>
          <t>Critical</t>
        </is>
      </c>
      <c r="P26" s="15" t="inlineStr">
        <is>
          <t>P2</t>
        </is>
      </c>
      <c r="Q26" s="4" t="inlineStr">
        <is>
          <t>P1</t>
        </is>
      </c>
      <c r="R26" s="4" t="inlineStr">
        <is>
          <t>N</t>
        </is>
      </c>
      <c r="S26" s="4" t="inlineStr">
        <is>
          <t>Y</t>
        </is>
      </c>
      <c r="T26" s="4" t="inlineStr">
        <is>
          <t>N</t>
        </is>
      </c>
      <c r="U26" s="4" t="inlineStr">
        <is>
          <t>Screenshot + trace on failure</t>
        </is>
      </c>
      <c r="V26" s="13" t="inlineStr">
        <is>
          <t>Automated</t>
        </is>
      </c>
      <c r="W26" s="4" t="inlineStr">
        <is>
          <t>tests/ui/client.spec.js</t>
        </is>
      </c>
      <c r="X26" s="4" t="inlineStr"/>
      <c r="Y26" s="4" t="inlineStr"/>
      <c r="Z26" s="4" t="inlineStr"/>
      <c r="AA26" s="4" t="inlineStr">
        <is>
          <t>@regression @client @p2 @smoke</t>
        </is>
      </c>
      <c r="AB26" s="12" t="inlineStr">
        <is>
          <t>Failed</t>
        </is>
      </c>
      <c r="AC26" s="12" t="inlineStr">
        <is>
          <t>Failed</t>
        </is>
      </c>
      <c r="AD26" s="13" t="inlineStr">
        <is>
          <t>Passed</t>
        </is>
      </c>
      <c r="AE26" s="13" t="inlineStr">
        <is>
          <t>Passed</t>
        </is>
      </c>
      <c r="AF26" s="13" t="inlineStr">
        <is>
          <t>Passed</t>
        </is>
      </c>
      <c r="AG26" s="4" t="inlineStr">
        <is>
          <t>AD-01, AD-02, AD-05, AD-06</t>
        </is>
      </c>
    </row>
    <row r="27">
      <c r="A27" s="4" t="inlineStr">
        <is>
          <t>TC-CLI-V02</t>
        </is>
      </c>
      <c r="B27" s="4" t="inlineStr">
        <is>
          <t>Mandatory personal fields validated inline</t>
        </is>
      </c>
      <c r="C27" s="4" t="inlineStr">
        <is>
          <t>Client / Insured Information</t>
        </is>
      </c>
      <c r="D27" s="4" t="inlineStr">
        <is>
          <t>CLI-V02</t>
        </is>
      </c>
      <c r="E27" s="4" t="inlineStr">
        <is>
          <t>S1</t>
        </is>
      </c>
      <c r="F27" s="4" t="inlineStr">
        <is>
          <t>R10</t>
        </is>
      </c>
      <c r="G27" s="4" t="inlineStr"/>
      <c r="H27" s="11" t="inlineStr"/>
      <c r="I27" s="4" t="inlineStr">
        <is>
          <t>UI Negative</t>
        </is>
      </c>
      <c r="J27" s="4" t="inlineStr">
        <is>
          <t>UI</t>
        </is>
      </c>
      <c r="K27" s="4" t="inlineStr">
        <is>
          <t>Valid agent (AGENT_VALID) signed in via saved session; environment reachable; NEW application open at the client step (first step)</t>
        </is>
      </c>
      <c r="L27" s="4" t="inlineStr">
        <is>
          <t>1. Leave all client fields empty
2. Click Next</t>
        </is>
      </c>
      <c r="M27" s="4" t="inlineStr">
        <is>
          <t>none</t>
        </is>
      </c>
      <c r="N27" s="4" t="inlineStr">
        <is>
          <t>User stays on the step; first name, last name and date of birth each show a required message</t>
        </is>
      </c>
      <c r="O27" s="16" t="inlineStr">
        <is>
          <t>Medium</t>
        </is>
      </c>
      <c r="P27" s="15" t="inlineStr">
        <is>
          <t>P2</t>
        </is>
      </c>
      <c r="Q27" s="4" t="inlineStr">
        <is>
          <t>P2</t>
        </is>
      </c>
      <c r="R27" s="4" t="inlineStr">
        <is>
          <t>N</t>
        </is>
      </c>
      <c r="S27" s="4" t="inlineStr">
        <is>
          <t>N</t>
        </is>
      </c>
      <c r="T27" s="4" t="inlineStr">
        <is>
          <t>N</t>
        </is>
      </c>
      <c r="U27" s="4" t="inlineStr">
        <is>
          <t>Screenshot + trace on failure</t>
        </is>
      </c>
      <c r="V27" s="13" t="inlineStr">
        <is>
          <t>Automated</t>
        </is>
      </c>
      <c r="W27" s="4" t="inlineStr">
        <is>
          <t>tests/ui/client.spec.js</t>
        </is>
      </c>
      <c r="X27" s="4" t="inlineStr"/>
      <c r="Y27" s="4" t="inlineStr"/>
      <c r="Z27" s="4" t="inlineStr"/>
      <c r="AA27" s="4" t="inlineStr">
        <is>
          <t>@regression @client @p2</t>
        </is>
      </c>
      <c r="AB27" s="15" t="inlineStr">
        <is>
          <t>Not in smoke scope</t>
        </is>
      </c>
      <c r="AC27" s="15" t="inlineStr">
        <is>
          <t>Failed or skipped (not itemised)</t>
        </is>
      </c>
      <c r="AD27" s="15" t="inlineStr">
        <is>
          <t>Not in smoke scope</t>
        </is>
      </c>
      <c r="AE27" s="15" t="inlineStr">
        <is>
          <t>Not in smoke scope</t>
        </is>
      </c>
      <c r="AF27" s="15" t="inlineStr">
        <is>
          <t>Not in smoke scope</t>
        </is>
      </c>
      <c r="AG27" s="4" t="inlineStr"/>
    </row>
    <row r="28">
      <c r="A28" s="4" t="inlineStr">
        <is>
          <t>TC-CLI-V03</t>
        </is>
      </c>
      <c r="B28" s="4" t="inlineStr">
        <is>
          <t>DOB under 18 rejected (age boundary)</t>
        </is>
      </c>
      <c r="C28" s="4" t="inlineStr">
        <is>
          <t>Client / Insured Information</t>
        </is>
      </c>
      <c r="D28" s="4" t="inlineStr">
        <is>
          <t>CLI-V03</t>
        </is>
      </c>
      <c r="E28" s="4" t="inlineStr">
        <is>
          <t>S1</t>
        </is>
      </c>
      <c r="F28" s="4" t="inlineStr">
        <is>
          <t>R10</t>
        </is>
      </c>
      <c r="G28" s="4" t="inlineStr">
        <is>
          <t>RI-04: Client age eligibility rules (18-65) missed</t>
        </is>
      </c>
      <c r="H28" s="11" t="inlineStr">
        <is>
          <t>SDC-04</t>
        </is>
      </c>
      <c r="I28" s="4" t="inlineStr">
        <is>
          <t>UI Boundary</t>
        </is>
      </c>
      <c r="J28" s="4" t="inlineStr">
        <is>
          <t>UI + API</t>
        </is>
      </c>
      <c r="K28" s="4" t="inlineStr">
        <is>
          <t>Valid agent (AGENT_VALID) signed in via saved session; environment reachable; NEW application open at the client step (first step)</t>
        </is>
      </c>
      <c r="L28" s="4" t="inlineStr">
        <is>
          <t>1. Enter DOB for a person who turns 18 TOMORROW (age 17) and click Next
2. Enter DOB for a person exactly 18 today and click Next</t>
        </is>
      </c>
      <c r="M28" s="4" t="inlineStr">
        <is>
          <t>dobForAge(18,{dayOffset:1}) and dobForAge(18)</t>
        </is>
      </c>
      <c r="N28" s="4" t="inlineStr">
        <is>
          <t>Age 17 is rejected with an eligibility message and the step does not advance; age 18 is accepted (inclusive rule - assumption A06 / Q10)</t>
        </is>
      </c>
      <c r="O28" s="14" t="inlineStr">
        <is>
          <t>High</t>
        </is>
      </c>
      <c r="P28" s="15" t="inlineStr">
        <is>
          <t>P2</t>
        </is>
      </c>
      <c r="Q28" s="4" t="inlineStr">
        <is>
          <t>P1</t>
        </is>
      </c>
      <c r="R28" s="4" t="inlineStr">
        <is>
          <t>N</t>
        </is>
      </c>
      <c r="S28" s="4" t="inlineStr">
        <is>
          <t>N</t>
        </is>
      </c>
      <c r="T28" s="4" t="inlineStr">
        <is>
          <t>N</t>
        </is>
      </c>
      <c r="U28" s="4" t="inlineStr">
        <is>
          <t>Screenshot attached on pass AND fail; trace/video on failure; diagnostics.json (console + 5xx)</t>
        </is>
      </c>
      <c r="V28" s="13" t="inlineStr">
        <is>
          <t>Automated</t>
        </is>
      </c>
      <c r="W28" s="4" t="inlineStr">
        <is>
          <t>tests/ui/client.spec.js</t>
        </is>
      </c>
      <c r="X28" s="4" t="inlineStr"/>
      <c r="Y28" s="4" t="inlineStr"/>
      <c r="Z28" s="4" t="inlineStr"/>
      <c r="AA28" s="4" t="inlineStr">
        <is>
          <t>@regression @client @p2 @seeded @api</t>
        </is>
      </c>
      <c r="AB28" s="15" t="inlineStr">
        <is>
          <t>Not in smoke scope</t>
        </is>
      </c>
      <c r="AC28" s="15" t="inlineStr">
        <is>
          <t>Failed or skipped (not itemised)</t>
        </is>
      </c>
      <c r="AD28" s="15" t="inlineStr">
        <is>
          <t>Not in smoke scope</t>
        </is>
      </c>
      <c r="AE28" s="15" t="inlineStr">
        <is>
          <t>Not in smoke scope</t>
        </is>
      </c>
      <c r="AF28" s="15" t="inlineStr">
        <is>
          <t>Not in smoke scope</t>
        </is>
      </c>
      <c r="AG28" s="4" t="inlineStr"/>
    </row>
    <row r="29">
      <c r="A29" s="4" t="inlineStr">
        <is>
          <t>TC-CLI-V04</t>
        </is>
      </c>
      <c r="B29" s="4" t="inlineStr">
        <is>
          <t>DOB over 65 rejected (age boundary)</t>
        </is>
      </c>
      <c r="C29" s="4" t="inlineStr">
        <is>
          <t>Client / Insured Information</t>
        </is>
      </c>
      <c r="D29" s="4" t="inlineStr">
        <is>
          <t>CLI-V04</t>
        </is>
      </c>
      <c r="E29" s="4" t="inlineStr">
        <is>
          <t>S1</t>
        </is>
      </c>
      <c r="F29" s="4" t="inlineStr">
        <is>
          <t>R10</t>
        </is>
      </c>
      <c r="G29" s="4" t="inlineStr">
        <is>
          <t>RI-04: Client age eligibility rules (18-65) missed</t>
        </is>
      </c>
      <c r="H29" s="11" t="inlineStr">
        <is>
          <t>SDC-04</t>
        </is>
      </c>
      <c r="I29" s="4" t="inlineStr">
        <is>
          <t>UI Boundary</t>
        </is>
      </c>
      <c r="J29" s="4" t="inlineStr">
        <is>
          <t>UI + API</t>
        </is>
      </c>
      <c r="K29" s="4" t="inlineStr">
        <is>
          <t>Valid agent (AGENT_VALID) signed in via saved session; environment reachable; NEW application open at the client step (first step)</t>
        </is>
      </c>
      <c r="L29" s="4" t="inlineStr">
        <is>
          <t>1. Enter DOB for a person exactly 66 years old and click Next
2. Enter DOB for a person exactly 65 today and click Next</t>
        </is>
      </c>
      <c r="M29" s="4" t="inlineStr">
        <is>
          <t>dobForAge(66) and dobForAge(65)</t>
        </is>
      </c>
      <c r="N29" s="4" t="inlineStr">
        <is>
          <t>Age 66 is rejected with an eligibility message; age 65 is accepted (inclusive rule - A06 / Q10)</t>
        </is>
      </c>
      <c r="O29" s="14" t="inlineStr">
        <is>
          <t>High</t>
        </is>
      </c>
      <c r="P29" s="15" t="inlineStr">
        <is>
          <t>P2</t>
        </is>
      </c>
      <c r="Q29" s="4" t="inlineStr">
        <is>
          <t>P1</t>
        </is>
      </c>
      <c r="R29" s="4" t="inlineStr">
        <is>
          <t>N</t>
        </is>
      </c>
      <c r="S29" s="4" t="inlineStr">
        <is>
          <t>N</t>
        </is>
      </c>
      <c r="T29" s="4" t="inlineStr">
        <is>
          <t>N</t>
        </is>
      </c>
      <c r="U29" s="4" t="inlineStr">
        <is>
          <t>Screenshot attached on pass AND fail; trace/video on failure; diagnostics.json (console + 5xx)</t>
        </is>
      </c>
      <c r="V29" s="13" t="inlineStr">
        <is>
          <t>Automated</t>
        </is>
      </c>
      <c r="W29" s="4" t="inlineStr">
        <is>
          <t>tests/ui/client.spec.js</t>
        </is>
      </c>
      <c r="X29" s="4" t="inlineStr"/>
      <c r="Y29" s="4" t="inlineStr"/>
      <c r="Z29" s="4" t="inlineStr"/>
      <c r="AA29" s="4" t="inlineStr">
        <is>
          <t>@regression @client @p2 @seeded @api</t>
        </is>
      </c>
      <c r="AB29" s="15" t="inlineStr">
        <is>
          <t>Not in smoke scope</t>
        </is>
      </c>
      <c r="AC29" s="15" t="inlineStr">
        <is>
          <t>Failed or skipped (not itemised)</t>
        </is>
      </c>
      <c r="AD29" s="15" t="inlineStr">
        <is>
          <t>Not in smoke scope</t>
        </is>
      </c>
      <c r="AE29" s="15" t="inlineStr">
        <is>
          <t>Not in smoke scope</t>
        </is>
      </c>
      <c r="AF29" s="15" t="inlineStr">
        <is>
          <t>Not in smoke scope</t>
        </is>
      </c>
      <c r="AG29" s="4" t="inlineStr"/>
    </row>
    <row r="30">
      <c r="A30" s="4" t="inlineStr">
        <is>
          <t>TC-CLI-V05</t>
        </is>
      </c>
      <c r="B30" s="4" t="inlineStr">
        <is>
          <t>Future DOB rejected</t>
        </is>
      </c>
      <c r="C30" s="4" t="inlineStr">
        <is>
          <t>Client / Insured Information</t>
        </is>
      </c>
      <c r="D30" s="4" t="inlineStr">
        <is>
          <t>CLI-V05</t>
        </is>
      </c>
      <c r="E30" s="4" t="inlineStr">
        <is>
          <t>S1</t>
        </is>
      </c>
      <c r="F30" s="4" t="inlineStr">
        <is>
          <t>R11</t>
        </is>
      </c>
      <c r="G30" s="4" t="inlineStr">
        <is>
          <t>RI-05: Future date of birth accepted</t>
        </is>
      </c>
      <c r="H30" s="11" t="inlineStr">
        <is>
          <t>SDC-05</t>
        </is>
      </c>
      <c r="I30" s="4" t="inlineStr">
        <is>
          <t>UI Negative</t>
        </is>
      </c>
      <c r="J30" s="4" t="inlineStr">
        <is>
          <t>UI + API</t>
        </is>
      </c>
      <c r="K30" s="4" t="inlineStr">
        <is>
          <t>Valid agent (AGENT_VALID) signed in via saved session; environment reachable; NEW application open at the client step (first step)</t>
        </is>
      </c>
      <c r="L30" s="4" t="inlineStr">
        <is>
          <t>1. Enter a DOB of tomorrow and click Next
2. Enter a DOB 5 years in the future and click Next</t>
        </is>
      </c>
      <c r="M30" s="4" t="inlineStr">
        <is>
          <t>futureDate(1), futureDate(1825)</t>
        </is>
      </c>
      <c r="N30" s="4" t="inlineStr">
        <is>
          <t>Both dates are rejected with an invalid-date message and the step does not advance</t>
        </is>
      </c>
      <c r="O30" s="14" t="inlineStr">
        <is>
          <t>High</t>
        </is>
      </c>
      <c r="P30" s="12" t="inlineStr">
        <is>
          <t>P1</t>
        </is>
      </c>
      <c r="Q30" s="4" t="inlineStr">
        <is>
          <t>P1</t>
        </is>
      </c>
      <c r="R30" s="4" t="inlineStr">
        <is>
          <t>Y</t>
        </is>
      </c>
      <c r="S30" s="4" t="inlineStr">
        <is>
          <t>N</t>
        </is>
      </c>
      <c r="T30" s="4" t="inlineStr">
        <is>
          <t>N</t>
        </is>
      </c>
      <c r="U30" s="4" t="inlineStr">
        <is>
          <t>Screenshot attached on pass AND fail; trace/video on failure; diagnostics.json (console + 5xx)</t>
        </is>
      </c>
      <c r="V30" s="13" t="inlineStr">
        <is>
          <t>Automated</t>
        </is>
      </c>
      <c r="W30" s="4" t="inlineStr">
        <is>
          <t>tests/ui/client.spec.js</t>
        </is>
      </c>
      <c r="X30" s="4" t="inlineStr"/>
      <c r="Y30" s="4" t="inlineStr"/>
      <c r="Z30" s="4" t="inlineStr"/>
      <c r="AA30" s="4" t="inlineStr">
        <is>
          <t>@regression @client @p1 @release-gate @seeded @api</t>
        </is>
      </c>
      <c r="AB30" s="15" t="inlineStr">
        <is>
          <t>Not in smoke scope</t>
        </is>
      </c>
      <c r="AC30" s="15" t="inlineStr">
        <is>
          <t>Failed or skipped (not itemised)</t>
        </is>
      </c>
      <c r="AD30" s="15" t="inlineStr">
        <is>
          <t>Not in smoke scope</t>
        </is>
      </c>
      <c r="AE30" s="15" t="inlineStr">
        <is>
          <t>Not in smoke scope</t>
        </is>
      </c>
      <c r="AF30" s="15" t="inlineStr">
        <is>
          <t>Not in smoke scope</t>
        </is>
      </c>
      <c r="AG30" s="4" t="inlineStr"/>
    </row>
    <row r="31">
      <c r="A31" s="4" t="inlineStr">
        <is>
          <t>TC-CLI-V06</t>
        </is>
      </c>
      <c r="B31" s="4" t="inlineStr">
        <is>
          <t>Same-as-residential copies address to mailing address</t>
        </is>
      </c>
      <c r="C31" s="4" t="inlineStr">
        <is>
          <t>Client / Insured Information</t>
        </is>
      </c>
      <c r="D31" s="4" t="inlineStr">
        <is>
          <t>CLI-V06</t>
        </is>
      </c>
      <c r="E31" s="4" t="inlineStr">
        <is>
          <t>S1</t>
        </is>
      </c>
      <c r="F31" s="4" t="inlineStr">
        <is>
          <t>R15</t>
        </is>
      </c>
      <c r="G31" s="4" t="inlineStr"/>
      <c r="H31" s="11" t="inlineStr"/>
      <c r="I31" s="4" t="inlineStr">
        <is>
          <t>UI Positive</t>
        </is>
      </c>
      <c r="J31" s="4" t="inlineStr">
        <is>
          <t>UI</t>
        </is>
      </c>
      <c r="K31" s="4" t="inlineStr">
        <is>
          <t>Valid agent (AGENT_VALID) signed in via saved session; environment reachable; NEW application open at the address step with every earlier step completed using valid data</t>
        </is>
      </c>
      <c r="L31" s="4" t="inlineStr">
        <is>
          <t>1. Fill the residential address
2. Tick "same as residential"
3. Read the mailing address fields</t>
        </is>
      </c>
      <c r="M31" s="4" t="inlineStr">
        <is>
          <t>Generated synthetic data (utils/dataBuilder.js)</t>
        </is>
      </c>
      <c r="N31" s="4" t="inlineStr">
        <is>
          <t>Mailing line 1, city and ZIP equal the residential values</t>
        </is>
      </c>
      <c r="O31" s="13" t="inlineStr">
        <is>
          <t>Low</t>
        </is>
      </c>
      <c r="P31" s="15" t="inlineStr">
        <is>
          <t>P3</t>
        </is>
      </c>
      <c r="Q31" s="4" t="inlineStr">
        <is>
          <t>P3</t>
        </is>
      </c>
      <c r="R31" s="4" t="inlineStr">
        <is>
          <t>N</t>
        </is>
      </c>
      <c r="S31" s="4" t="inlineStr">
        <is>
          <t>N</t>
        </is>
      </c>
      <c r="T31" s="4" t="inlineStr">
        <is>
          <t>N</t>
        </is>
      </c>
      <c r="U31" s="4" t="inlineStr">
        <is>
          <t>Screenshot + trace on failure</t>
        </is>
      </c>
      <c r="V31" s="13" t="inlineStr">
        <is>
          <t>Automated</t>
        </is>
      </c>
      <c r="W31" s="4" t="inlineStr">
        <is>
          <t>tests/ui/client.spec.js</t>
        </is>
      </c>
      <c r="X31" s="4" t="inlineStr"/>
      <c r="Y31" s="4" t="inlineStr"/>
      <c r="Z31" s="4" t="inlineStr"/>
      <c r="AA31" s="4" t="inlineStr">
        <is>
          <t>@regression @client @p3</t>
        </is>
      </c>
      <c r="AB31" s="15" t="inlineStr">
        <is>
          <t>Not in smoke scope</t>
        </is>
      </c>
      <c r="AC31" s="15" t="inlineStr">
        <is>
          <t>Failed or skipped (not itemised)</t>
        </is>
      </c>
      <c r="AD31" s="15" t="inlineStr">
        <is>
          <t>Not in smoke scope</t>
        </is>
      </c>
      <c r="AE31" s="15" t="inlineStr">
        <is>
          <t>Not in smoke scope</t>
        </is>
      </c>
      <c r="AF31" s="15" t="inlineStr">
        <is>
          <t>Not in smoke scope</t>
        </is>
      </c>
      <c r="AG31" s="4" t="inlineStr"/>
    </row>
    <row r="32">
      <c r="A32" s="4" t="inlineStr">
        <is>
          <t>TC-CLI-V07</t>
        </is>
      </c>
      <c r="B32" s="4" t="inlineStr">
        <is>
          <t>Invalid email and phone formats rejected</t>
        </is>
      </c>
      <c r="C32" s="4" t="inlineStr">
        <is>
          <t>Client / Insured Information</t>
        </is>
      </c>
      <c r="D32" s="4" t="inlineStr">
        <is>
          <t>CLI-V07</t>
        </is>
      </c>
      <c r="E32" s="4" t="inlineStr">
        <is>
          <t>S1</t>
        </is>
      </c>
      <c r="F32" s="4" t="inlineStr">
        <is>
          <t>R15</t>
        </is>
      </c>
      <c r="G32" s="4" t="inlineStr"/>
      <c r="H32" s="11" t="inlineStr"/>
      <c r="I32" s="4" t="inlineStr">
        <is>
          <t>UI Negative</t>
        </is>
      </c>
      <c r="J32" s="4" t="inlineStr">
        <is>
          <t>UI</t>
        </is>
      </c>
      <c r="K32" s="4" t="inlineStr">
        <is>
          <t>Valid agent (AGENT_VALID) signed in via saved session; environment reachable; NEW application open at the address step with every earlier step completed using valid data</t>
        </is>
      </c>
      <c r="L32" s="4" t="inlineStr">
        <is>
          <t>1. Fill a valid address
2. For each invalid email (no @, no domain, spaces) enter it and click Next
3. For each invalid phone (letters, too short) enter it and click Next</t>
        </is>
      </c>
      <c r="M32" s="4" t="inlineStr">
        <is>
          <t>Invalid email / phone lists in tests/ui/client.spec.js</t>
        </is>
      </c>
      <c r="N32" s="4" t="inlineStr">
        <is>
          <t>Each invalid value shows a format error next to the field and the step does not advance</t>
        </is>
      </c>
      <c r="O32" s="16" t="inlineStr">
        <is>
          <t>Medium</t>
        </is>
      </c>
      <c r="P32" s="15" t="inlineStr">
        <is>
          <t>P2</t>
        </is>
      </c>
      <c r="Q32" s="4" t="inlineStr">
        <is>
          <t>P2</t>
        </is>
      </c>
      <c r="R32" s="4" t="inlineStr">
        <is>
          <t>N</t>
        </is>
      </c>
      <c r="S32" s="4" t="inlineStr">
        <is>
          <t>N</t>
        </is>
      </c>
      <c r="T32" s="4" t="inlineStr">
        <is>
          <t>N</t>
        </is>
      </c>
      <c r="U32" s="4" t="inlineStr">
        <is>
          <t>Screenshot + trace on failure</t>
        </is>
      </c>
      <c r="V32" s="13" t="inlineStr">
        <is>
          <t>Automated</t>
        </is>
      </c>
      <c r="W32" s="4" t="inlineStr">
        <is>
          <t>tests/ui/client.spec.js</t>
        </is>
      </c>
      <c r="X32" s="4" t="inlineStr"/>
      <c r="Y32" s="4" t="inlineStr"/>
      <c r="Z32" s="4" t="inlineStr"/>
      <c r="AA32" s="4" t="inlineStr">
        <is>
          <t>@regression @client @p2</t>
        </is>
      </c>
      <c r="AB32" s="15" t="inlineStr">
        <is>
          <t>Not in smoke scope</t>
        </is>
      </c>
      <c r="AC32" s="15" t="inlineStr">
        <is>
          <t>Failed or skipped (not itemised)</t>
        </is>
      </c>
      <c r="AD32" s="15" t="inlineStr">
        <is>
          <t>Not in smoke scope</t>
        </is>
      </c>
      <c r="AE32" s="15" t="inlineStr">
        <is>
          <t>Not in smoke scope</t>
        </is>
      </c>
      <c r="AF32" s="15" t="inlineStr">
        <is>
          <t>Not in smoke scope</t>
        </is>
      </c>
      <c r="AG32" s="4" t="inlineStr"/>
    </row>
    <row r="33">
      <c r="A33" s="4" t="inlineStr">
        <is>
          <t>TC-CLI-V08</t>
        </is>
      </c>
      <c r="B33" s="4" t="inlineStr">
        <is>
          <t>SSN masked after entry (only last four digits visible)</t>
        </is>
      </c>
      <c r="C33" s="4" t="inlineStr">
        <is>
          <t>Client / Insured Information</t>
        </is>
      </c>
      <c r="D33" s="4" t="inlineStr">
        <is>
          <t>CLI-V08</t>
        </is>
      </c>
      <c r="E33" s="4" t="inlineStr">
        <is>
          <t>S1</t>
        </is>
      </c>
      <c r="F33" s="4" t="inlineStr">
        <is>
          <t>R12</t>
        </is>
      </c>
      <c r="G33" s="4" t="inlineStr">
        <is>
          <t>RI-07: SSN not masked properly</t>
        </is>
      </c>
      <c r="H33" s="11" t="inlineStr">
        <is>
          <t>SDC-07</t>
        </is>
      </c>
      <c r="I33" s="4" t="inlineStr">
        <is>
          <t>UI Security</t>
        </is>
      </c>
      <c r="J33" s="4" t="inlineStr">
        <is>
          <t>UI</t>
        </is>
      </c>
      <c r="K33" s="4" t="inlineStr">
        <is>
          <t>Valid agent (AGENT_VALID) signed in via saved session; environment reachable; NEW application open at the kyc step with every earlier step completed using valid data</t>
        </is>
      </c>
      <c r="L33" s="4" t="inlineStr">
        <is>
          <t>1. Enter the synthetic SSN 900-12-3456
2. Leave the field (blur)
3. Read what is visible for the SSN</t>
        </is>
      </c>
      <c r="M33" s="4" t="inlineStr">
        <is>
          <t>Synthetic SSN 900-12-3456 (900-series is never issued)</t>
        </is>
      </c>
      <c r="N33" s="4" t="inlineStr">
        <is>
          <t>Only the last four digits (3456) are visible; the first five digits are masked</t>
        </is>
      </c>
      <c r="O33" s="12" t="inlineStr">
        <is>
          <t>Critical</t>
        </is>
      </c>
      <c r="P33" s="12" t="inlineStr">
        <is>
          <t>P1</t>
        </is>
      </c>
      <c r="Q33" s="4" t="inlineStr">
        <is>
          <t>P1</t>
        </is>
      </c>
      <c r="R33" s="4" t="inlineStr">
        <is>
          <t>Y</t>
        </is>
      </c>
      <c r="S33" s="4" t="inlineStr">
        <is>
          <t>N</t>
        </is>
      </c>
      <c r="T33" s="4" t="inlineStr">
        <is>
          <t>Y</t>
        </is>
      </c>
      <c r="U33" s="4" t="inlineStr">
        <is>
          <t>Screenshot attached on pass AND fail; trace/video on failure; diagnostics.json (console + 5xx)</t>
        </is>
      </c>
      <c r="V33" s="13" t="inlineStr">
        <is>
          <t>Automated</t>
        </is>
      </c>
      <c r="W33" s="4" t="inlineStr">
        <is>
          <t>tests/ui/client-kyc-sensitive.spec.js</t>
        </is>
      </c>
      <c r="X33" s="4" t="inlineStr"/>
      <c r="Y33" s="4" t="inlineStr"/>
      <c r="Z33" s="4" t="inlineStr"/>
      <c r="AA33" s="4" t="inlineStr">
        <is>
          <t>@regression @client @p1 @release-gate @sensitive @seeded</t>
        </is>
      </c>
      <c r="AB33" s="15" t="inlineStr">
        <is>
          <t>Not in smoke scope</t>
        </is>
      </c>
      <c r="AC33" s="15" t="inlineStr">
        <is>
          <t>Failed or skipped (not itemised)</t>
        </is>
      </c>
      <c r="AD33" s="15" t="inlineStr">
        <is>
          <t>Not in smoke scope</t>
        </is>
      </c>
      <c r="AE33" s="15" t="inlineStr">
        <is>
          <t>Not in smoke scope</t>
        </is>
      </c>
      <c r="AF33" s="15" t="inlineStr">
        <is>
          <t>Not in smoke scope</t>
        </is>
      </c>
      <c r="AG33" s="4" t="inlineStr">
        <is>
          <t>AD-08</t>
        </is>
      </c>
    </row>
    <row r="34">
      <c r="A34" s="4" t="inlineStr">
        <is>
          <t>TC-CLI-V09</t>
        </is>
      </c>
      <c r="B34" s="4" t="inlineStr">
        <is>
          <t>KYC upload rejects unsupported file type</t>
        </is>
      </c>
      <c r="C34" s="4" t="inlineStr">
        <is>
          <t>Client / Insured Information</t>
        </is>
      </c>
      <c r="D34" s="4" t="inlineStr">
        <is>
          <t>CLI-V09</t>
        </is>
      </c>
      <c r="E34" s="4" t="inlineStr">
        <is>
          <t>S1</t>
        </is>
      </c>
      <c r="F34" s="4" t="inlineStr">
        <is>
          <t>R30</t>
        </is>
      </c>
      <c r="G34" s="4" t="inlineStr"/>
      <c r="H34" s="11" t="inlineStr"/>
      <c r="I34" s="4" t="inlineStr">
        <is>
          <t>UI Negative</t>
        </is>
      </c>
      <c r="J34" s="4" t="inlineStr">
        <is>
          <t>UI</t>
        </is>
      </c>
      <c r="K34" s="4" t="inlineStr">
        <is>
          <t>Valid agent (AGENT_VALID) signed in via saved session; environment reachable; NEW application open at the kyc step with every earlier step completed using valid data</t>
        </is>
      </c>
      <c r="L34" s="4" t="inlineStr">
        <is>
          <t>1. Upload an .exe file in the KYC document control</t>
        </is>
      </c>
      <c r="M34" s="4" t="inlineStr">
        <is>
          <t>In-memory malware-test.exe</t>
        </is>
      </c>
      <c r="N34" s="4" t="inlineStr">
        <is>
          <t>An unsupported-type message is shown and the file is not accepted</t>
        </is>
      </c>
      <c r="O34" s="16" t="inlineStr">
        <is>
          <t>Medium</t>
        </is>
      </c>
      <c r="P34" s="15" t="inlineStr">
        <is>
          <t>P2</t>
        </is>
      </c>
      <c r="Q34" s="4" t="inlineStr">
        <is>
          <t>P2</t>
        </is>
      </c>
      <c r="R34" s="4" t="inlineStr">
        <is>
          <t>N</t>
        </is>
      </c>
      <c r="S34" s="4" t="inlineStr">
        <is>
          <t>N</t>
        </is>
      </c>
      <c r="T34" s="4" t="inlineStr">
        <is>
          <t>Y</t>
        </is>
      </c>
      <c r="U34" s="4" t="inlineStr">
        <is>
          <t>Screenshot + trace on failure</t>
        </is>
      </c>
      <c r="V34" s="13" t="inlineStr">
        <is>
          <t>Automated</t>
        </is>
      </c>
      <c r="W34" s="4" t="inlineStr">
        <is>
          <t>tests/ui/client-kyc-sensitive.spec.js</t>
        </is>
      </c>
      <c r="X34" s="4" t="inlineStr">
        <is>
          <t>Skips if the KYC step has no upload control</t>
        </is>
      </c>
      <c r="Y34" s="4" t="inlineStr"/>
      <c r="Z34" s="4" t="inlineStr"/>
      <c r="AA34" s="4" t="inlineStr">
        <is>
          <t>@regression @client @p2 @sensitive</t>
        </is>
      </c>
      <c r="AB34" s="15" t="inlineStr">
        <is>
          <t>Not in smoke scope</t>
        </is>
      </c>
      <c r="AC34" s="15" t="inlineStr">
        <is>
          <t>Failed or skipped (not itemised)</t>
        </is>
      </c>
      <c r="AD34" s="15" t="inlineStr">
        <is>
          <t>Not in smoke scope</t>
        </is>
      </c>
      <c r="AE34" s="15" t="inlineStr">
        <is>
          <t>Not in smoke scope</t>
        </is>
      </c>
      <c r="AF34" s="15" t="inlineStr">
        <is>
          <t>Not in smoke scope</t>
        </is>
      </c>
      <c r="AG34" s="4" t="inlineStr"/>
    </row>
    <row r="35">
      <c r="A35" s="4" t="inlineStr">
        <is>
          <t>TC-CLI-V10</t>
        </is>
      </c>
      <c r="B35" s="4" t="inlineStr">
        <is>
          <t>PEP = Yes makes additional details mandatory</t>
        </is>
      </c>
      <c r="C35" s="4" t="inlineStr">
        <is>
          <t>Client / Insured Information</t>
        </is>
      </c>
      <c r="D35" s="4" t="inlineStr">
        <is>
          <t>CLI-V10</t>
        </is>
      </c>
      <c r="E35" s="4" t="inlineStr">
        <is>
          <t>S1</t>
        </is>
      </c>
      <c r="F35" s="4" t="inlineStr">
        <is>
          <t>R14</t>
        </is>
      </c>
      <c r="G35" s="4" t="inlineStr"/>
      <c r="H35" s="11" t="inlineStr"/>
      <c r="I35" s="4" t="inlineStr">
        <is>
          <t>UI Negative</t>
        </is>
      </c>
      <c r="J35" s="4" t="inlineStr">
        <is>
          <t>UI</t>
        </is>
      </c>
      <c r="K35" s="4" t="inlineStr">
        <is>
          <t>Valid agent (AGENT_VALID) signed in via saved session; environment reachable; NEW application open at the kyc step with every earlier step completed using valid data</t>
        </is>
      </c>
      <c r="L35" s="4" t="inlineStr">
        <is>
          <t>1. Select PEP = Yes
2. Confirm the PEP details field appears
3. Click Next without details</t>
        </is>
      </c>
      <c r="M35" s="4" t="inlineStr">
        <is>
          <t>Generated synthetic data (utils/dataBuilder.js)</t>
        </is>
      </c>
      <c r="N35" s="4" t="inlineStr">
        <is>
          <t>PEP details field becomes visible and Next is blocked with a required message until it is filled</t>
        </is>
      </c>
      <c r="O35" s="16" t="inlineStr">
        <is>
          <t>Medium</t>
        </is>
      </c>
      <c r="P35" s="15" t="inlineStr">
        <is>
          <t>P2</t>
        </is>
      </c>
      <c r="Q35" s="4" t="inlineStr">
        <is>
          <t>P2</t>
        </is>
      </c>
      <c r="R35" s="4" t="inlineStr">
        <is>
          <t>N</t>
        </is>
      </c>
      <c r="S35" s="4" t="inlineStr">
        <is>
          <t>N</t>
        </is>
      </c>
      <c r="T35" s="4" t="inlineStr">
        <is>
          <t>Y</t>
        </is>
      </c>
      <c r="U35" s="4" t="inlineStr">
        <is>
          <t>Screenshot + trace on failure</t>
        </is>
      </c>
      <c r="V35" s="13" t="inlineStr">
        <is>
          <t>Automated</t>
        </is>
      </c>
      <c r="W35" s="4" t="inlineStr">
        <is>
          <t>tests/ui/client-kyc-sensitive.spec.js</t>
        </is>
      </c>
      <c r="X35" s="4" t="inlineStr"/>
      <c r="Y35" s="4" t="inlineStr"/>
      <c r="Z35" s="4" t="inlineStr"/>
      <c r="AA35" s="4" t="inlineStr">
        <is>
          <t>@regression @client @p2 @sensitive</t>
        </is>
      </c>
      <c r="AB35" s="15" t="inlineStr">
        <is>
          <t>Not in smoke scope</t>
        </is>
      </c>
      <c r="AC35" s="15" t="inlineStr">
        <is>
          <t>Failed or skipped (not itemised)</t>
        </is>
      </c>
      <c r="AD35" s="15" t="inlineStr">
        <is>
          <t>Not in smoke scope</t>
        </is>
      </c>
      <c r="AE35" s="15" t="inlineStr">
        <is>
          <t>Not in smoke scope</t>
        </is>
      </c>
      <c r="AF35" s="15" t="inlineStr">
        <is>
          <t>Not in smoke scope</t>
        </is>
      </c>
      <c r="AG35" s="4" t="inlineStr"/>
    </row>
    <row r="36">
      <c r="A36" s="4" t="inlineStr">
        <is>
          <t>TC-CLI-V11</t>
        </is>
      </c>
      <c r="B36" s="4" t="inlineStr">
        <is>
          <t>Postal code format validated</t>
        </is>
      </c>
      <c r="C36" s="4" t="inlineStr">
        <is>
          <t>Client / Insured Information</t>
        </is>
      </c>
      <c r="D36" s="4" t="inlineStr">
        <is>
          <t>CLI-V11</t>
        </is>
      </c>
      <c r="E36" s="4" t="inlineStr">
        <is>
          <t>S1+</t>
        </is>
      </c>
      <c r="F36" s="4" t="inlineStr">
        <is>
          <t>R15</t>
        </is>
      </c>
      <c r="G36" s="4" t="inlineStr"/>
      <c r="H36" s="11" t="inlineStr"/>
      <c r="I36" s="4" t="inlineStr">
        <is>
          <t>UI Negative</t>
        </is>
      </c>
      <c r="J36" s="4" t="inlineStr">
        <is>
          <t>UI</t>
        </is>
      </c>
      <c r="K36" s="4" t="inlineStr">
        <is>
          <t>Valid agent (AGENT_VALID) signed in via saved session; environment reachable; NEW application open at the address step with every earlier step completed using valid data</t>
        </is>
      </c>
      <c r="L36" s="4" t="inlineStr">
        <is>
          <t>1. Fill a valid address with an invalid ZIP (letters, too short, too long)
2. Click Next</t>
        </is>
      </c>
      <c r="M36" s="4" t="inlineStr">
        <is>
          <t>ZIPs: ABCDE, 123, 0211000000</t>
        </is>
      </c>
      <c r="N36" s="4" t="inlineStr">
        <is>
          <t>Each invalid ZIP is rejected with a postal-code message</t>
        </is>
      </c>
      <c r="O36" s="13" t="inlineStr">
        <is>
          <t>Low</t>
        </is>
      </c>
      <c r="P36" s="15" t="inlineStr">
        <is>
          <t>P3</t>
        </is>
      </c>
      <c r="Q36" s="4" t="inlineStr">
        <is>
          <t>P3</t>
        </is>
      </c>
      <c r="R36" s="4" t="inlineStr">
        <is>
          <t>N</t>
        </is>
      </c>
      <c r="S36" s="4" t="inlineStr">
        <is>
          <t>N</t>
        </is>
      </c>
      <c r="T36" s="4" t="inlineStr">
        <is>
          <t>N</t>
        </is>
      </c>
      <c r="U36" s="4" t="inlineStr">
        <is>
          <t>Screenshot + trace on failure</t>
        </is>
      </c>
      <c r="V36" s="13" t="inlineStr">
        <is>
          <t>Automated</t>
        </is>
      </c>
      <c r="W36" s="4" t="inlineStr">
        <is>
          <t>tests/ui/client.spec.js</t>
        </is>
      </c>
      <c r="X36" s="4" t="inlineStr"/>
      <c r="Y36" s="4" t="inlineStr"/>
      <c r="Z36" s="4" t="inlineStr"/>
      <c r="AA36" s="4" t="inlineStr">
        <is>
          <t>@regression @client @p3</t>
        </is>
      </c>
      <c r="AB36" s="15" t="inlineStr">
        <is>
          <t>Not in smoke scope</t>
        </is>
      </c>
      <c r="AC36" s="15" t="inlineStr">
        <is>
          <t>Failed or skipped (not itemised)</t>
        </is>
      </c>
      <c r="AD36" s="15" t="inlineStr">
        <is>
          <t>Not in smoke scope</t>
        </is>
      </c>
      <c r="AE36" s="15" t="inlineStr">
        <is>
          <t>Not in smoke scope</t>
        </is>
      </c>
      <c r="AF36" s="15" t="inlineStr">
        <is>
          <t>Not in smoke scope</t>
        </is>
      </c>
      <c r="AG36" s="4" t="inlineStr"/>
    </row>
    <row r="37">
      <c r="A37" s="4" t="inlineStr">
        <is>
          <t>TC-CLI-V12</t>
        </is>
      </c>
      <c r="B37" s="4" t="inlineStr">
        <is>
          <t>Income vs premium affordability validation</t>
        </is>
      </c>
      <c r="C37" s="4" t="inlineStr">
        <is>
          <t>Client / Insured Information</t>
        </is>
      </c>
      <c r="D37" s="4" t="inlineStr">
        <is>
          <t>CLI-V12</t>
        </is>
      </c>
      <c r="E37" s="4" t="inlineStr">
        <is>
          <t>S1+</t>
        </is>
      </c>
      <c r="F37" s="4" t="inlineStr">
        <is>
          <t>R13</t>
        </is>
      </c>
      <c r="G37" s="4" t="inlineStr">
        <is>
          <t>RI-08: Income vs premium affordability not applied</t>
        </is>
      </c>
      <c r="H37" s="11" t="inlineStr">
        <is>
          <t>SDC-08</t>
        </is>
      </c>
      <c r="I37" s="4" t="inlineStr">
        <is>
          <t>UI Negative</t>
        </is>
      </c>
      <c r="J37" s="4" t="inlineStr">
        <is>
          <t>UI + API</t>
        </is>
      </c>
      <c r="K37" s="4" t="inlineStr">
        <is>
          <t>Valid agent (AGENT_VALID) signed in via saved session; environment reachable; NEW application open at the kyc step with every earlier step completed using valid data</t>
        </is>
      </c>
      <c r="L37" s="4" t="inlineStr">
        <is>
          <t>1. Enter a very LOW annual income
2. Continue to Product and select a product with a very HIGH face value
3. Click Next</t>
        </is>
      </c>
      <c r="M37" s="4" t="inlineStr">
        <is>
          <t>income 12000; face value 5,000,000 (rule undefined - Q11)</t>
        </is>
      </c>
      <c r="N37" s="4" t="inlineStr">
        <is>
          <t>An affordability warning or block referring to income/premium is shown (formula TBC with the product owner)</t>
        </is>
      </c>
      <c r="O37" s="14" t="inlineStr">
        <is>
          <t>High</t>
        </is>
      </c>
      <c r="P37" s="15" t="inlineStr">
        <is>
          <t>P2</t>
        </is>
      </c>
      <c r="Q37" s="4" t="inlineStr">
        <is>
          <t>P1</t>
        </is>
      </c>
      <c r="R37" s="4" t="inlineStr">
        <is>
          <t>N</t>
        </is>
      </c>
      <c r="S37" s="4" t="inlineStr">
        <is>
          <t>N</t>
        </is>
      </c>
      <c r="T37" s="4" t="inlineStr">
        <is>
          <t>Y</t>
        </is>
      </c>
      <c r="U37" s="4" t="inlineStr">
        <is>
          <t>Screenshot attached on pass AND fail; trace/video on failure; diagnostics.json (console + 5xx)</t>
        </is>
      </c>
      <c r="V37" s="13" t="inlineStr">
        <is>
          <t>Automated</t>
        </is>
      </c>
      <c r="W37" s="4" t="inlineStr">
        <is>
          <t>tests/ui/client-kyc-sensitive.spec.js</t>
        </is>
      </c>
      <c r="X37" s="4" t="inlineStr"/>
      <c r="Y37" s="4" t="inlineStr"/>
      <c r="Z37" s="4" t="inlineStr"/>
      <c r="AA37" s="4" t="inlineStr">
        <is>
          <t>@regression @client @p2 @sensitive @seeded @api</t>
        </is>
      </c>
      <c r="AB37" s="15" t="inlineStr">
        <is>
          <t>Not in smoke scope</t>
        </is>
      </c>
      <c r="AC37" s="15" t="inlineStr">
        <is>
          <t>Failed or skipped (not itemised)</t>
        </is>
      </c>
      <c r="AD37" s="15" t="inlineStr">
        <is>
          <t>Not in smoke scope</t>
        </is>
      </c>
      <c r="AE37" s="15" t="inlineStr">
        <is>
          <t>Not in smoke scope</t>
        </is>
      </c>
      <c r="AF37" s="15" t="inlineStr">
        <is>
          <t>Not in smoke scope</t>
        </is>
      </c>
      <c r="AG37" s="4" t="inlineStr"/>
    </row>
    <row r="38">
      <c r="A38" s="4" t="inlineStr">
        <is>
          <t>TC-CLI-V13</t>
        </is>
      </c>
      <c r="B38" s="4" t="inlineStr">
        <is>
          <t>Calculated age shown on review matches the date of birth</t>
        </is>
      </c>
      <c r="C38" s="4" t="inlineStr">
        <is>
          <t>Client / Insured Information</t>
        </is>
      </c>
      <c r="D38" s="4" t="inlineStr">
        <is>
          <t>CLI-V13</t>
        </is>
      </c>
      <c r="E38" s="4" t="inlineStr">
        <is>
          <t>S2+</t>
        </is>
      </c>
      <c r="F38" s="4" t="inlineStr">
        <is>
          <t>R10</t>
        </is>
      </c>
      <c r="G38" s="4" t="inlineStr">
        <is>
          <t>RI-04: Client age eligibility rules (18-65) missed</t>
        </is>
      </c>
      <c r="H38" s="11" t="inlineStr">
        <is>
          <t>SDC-04</t>
        </is>
      </c>
      <c r="I38" s="4" t="inlineStr">
        <is>
          <t>UI Positive</t>
        </is>
      </c>
      <c r="J38" s="4" t="inlineStr">
        <is>
          <t>UI</t>
        </is>
      </c>
      <c r="K38" s="4" t="inlineStr">
        <is>
          <t>Valid agent (AGENT_VALID) signed in via saved session; environment reachable</t>
        </is>
      </c>
      <c r="L38" s="4" t="inlineStr">
        <is>
          <t>1. Complete a journey with a DOB exactly 35 years before today
2. Read "Calculated Age" on the review page</t>
        </is>
      </c>
      <c r="M38" s="4" t="inlineStr">
        <is>
          <t>dobForAge(35)</t>
        </is>
      </c>
      <c r="N38" s="4" t="inlineStr">
        <is>
          <t>The age shown is 35 (the live app shows the calculated age only on the review snapshot)</t>
        </is>
      </c>
      <c r="O38" s="16" t="inlineStr">
        <is>
          <t>Medium</t>
        </is>
      </c>
      <c r="P38" s="15" t="inlineStr">
        <is>
          <t>P2</t>
        </is>
      </c>
      <c r="Q38" s="4" t="inlineStr">
        <is>
          <t>P2</t>
        </is>
      </c>
      <c r="R38" s="4" t="inlineStr">
        <is>
          <t>N</t>
        </is>
      </c>
      <c r="S38" s="4" t="inlineStr">
        <is>
          <t>N</t>
        </is>
      </c>
      <c r="T38" s="4" t="inlineStr">
        <is>
          <t>N</t>
        </is>
      </c>
      <c r="U38" s="4" t="inlineStr">
        <is>
          <t>DOB entered and age shown attached to the report</t>
        </is>
      </c>
      <c r="V38" s="13" t="inlineStr">
        <is>
          <t>Automated</t>
        </is>
      </c>
      <c r="W38" s="4" t="inlineStr">
        <is>
          <t>tests/ui/client.spec.js</t>
        </is>
      </c>
      <c r="X38" s="4" t="inlineStr"/>
      <c r="Y38" s="4" t="inlineStr"/>
      <c r="Z38" s="4" t="inlineStr"/>
      <c r="AA38" s="4" t="inlineStr">
        <is>
          <t>@regression @client @p2 @seeded</t>
        </is>
      </c>
      <c r="AB38" s="15" t="inlineStr">
        <is>
          <t>Not in smoke scope</t>
        </is>
      </c>
      <c r="AC38" s="15" t="inlineStr">
        <is>
          <t>Failed or skipped (not itemised)</t>
        </is>
      </c>
      <c r="AD38" s="15" t="inlineStr">
        <is>
          <t>Not in smoke scope</t>
        </is>
      </c>
      <c r="AE38" s="15" t="inlineStr">
        <is>
          <t>Not in smoke scope</t>
        </is>
      </c>
      <c r="AF38" s="15" t="inlineStr">
        <is>
          <t>Not in smoke scope</t>
        </is>
      </c>
      <c r="AG38" s="4" t="inlineStr">
        <is>
          <t>AC-04</t>
        </is>
      </c>
    </row>
    <row r="39">
      <c r="A39" s="4" t="inlineStr">
        <is>
          <t>TC-CLI-V14</t>
        </is>
      </c>
      <c r="B39" s="4" t="inlineStr">
        <is>
          <t>Name validation rejects digits and special characters</t>
        </is>
      </c>
      <c r="C39" s="4" t="inlineStr">
        <is>
          <t>Client / Insured Information</t>
        </is>
      </c>
      <c r="D39" s="4" t="inlineStr">
        <is>
          <t>CLI-V14</t>
        </is>
      </c>
      <c r="E39" s="4" t="inlineStr">
        <is>
          <t>S2+</t>
        </is>
      </c>
      <c r="F39" s="4" t="inlineStr">
        <is>
          <t>R15</t>
        </is>
      </c>
      <c r="G39" s="4" t="inlineStr"/>
      <c r="H39" s="11" t="inlineStr"/>
      <c r="I39" s="4" t="inlineStr">
        <is>
          <t>UI Negative</t>
        </is>
      </c>
      <c r="J39" s="4" t="inlineStr">
        <is>
          <t>UI</t>
        </is>
      </c>
      <c r="K39" s="4" t="inlineStr">
        <is>
          <t>Valid agent (AGENT_VALID) signed in via saved session; environment reachable; NEW application open at the client step (first step)</t>
        </is>
      </c>
      <c r="L39" s="4" t="inlineStr">
        <is>
          <t>1. Enter a first name containing digits, click Next
2. Enter a last name containing special characters, click Next</t>
        </is>
      </c>
      <c r="M39" s="4" t="inlineStr">
        <is>
          <t>First name "J0hn123"; last name "O@#$%"</t>
        </is>
      </c>
      <c r="N39" s="4" t="inlineStr">
        <is>
          <t>Each invalid name is rejected with a name-format message and the step does not advance</t>
        </is>
      </c>
      <c r="O39" s="16" t="inlineStr">
        <is>
          <t>Medium</t>
        </is>
      </c>
      <c r="P39" s="15" t="inlineStr">
        <is>
          <t>P2</t>
        </is>
      </c>
      <c r="Q39" s="4" t="inlineStr">
        <is>
          <t>P2</t>
        </is>
      </c>
      <c r="R39" s="4" t="inlineStr">
        <is>
          <t>N</t>
        </is>
      </c>
      <c r="S39" s="4" t="inlineStr">
        <is>
          <t>N</t>
        </is>
      </c>
      <c r="T39" s="4" t="inlineStr">
        <is>
          <t>N</t>
        </is>
      </c>
      <c r="U39" s="4" t="inlineStr">
        <is>
          <t>Screenshot + trace on failure</t>
        </is>
      </c>
      <c r="V39" s="13" t="inlineStr">
        <is>
          <t>Automated</t>
        </is>
      </c>
      <c r="W39" s="4" t="inlineStr">
        <is>
          <t>tests/ui/client.spec.js</t>
        </is>
      </c>
      <c r="X39" s="4" t="inlineStr"/>
      <c r="Y39" s="4" t="inlineStr"/>
      <c r="Z39" s="4" t="inlineStr"/>
      <c r="AA39" s="4" t="inlineStr">
        <is>
          <t>@regression @client @p2</t>
        </is>
      </c>
      <c r="AB39" s="15" t="inlineStr">
        <is>
          <t>Not in smoke scope</t>
        </is>
      </c>
      <c r="AC39" s="15" t="inlineStr">
        <is>
          <t>Failed or skipped (not itemised)</t>
        </is>
      </c>
      <c r="AD39" s="15" t="inlineStr">
        <is>
          <t>Not in smoke scope</t>
        </is>
      </c>
      <c r="AE39" s="15" t="inlineStr">
        <is>
          <t>Not in smoke scope</t>
        </is>
      </c>
      <c r="AF39" s="15" t="inlineStr">
        <is>
          <t>Not in smoke scope</t>
        </is>
      </c>
      <c r="AG39" s="4" t="inlineStr"/>
    </row>
    <row r="40">
      <c r="A40" s="4" t="inlineStr">
        <is>
          <t>TC-CLI-V15</t>
        </is>
      </c>
      <c r="B40" s="4" t="inlineStr">
        <is>
          <t>State is required and validated</t>
        </is>
      </c>
      <c r="C40" s="4" t="inlineStr">
        <is>
          <t>Client / Insured Information</t>
        </is>
      </c>
      <c r="D40" s="4" t="inlineStr">
        <is>
          <t>CLI-V15</t>
        </is>
      </c>
      <c r="E40" s="4" t="inlineStr">
        <is>
          <t>S2+</t>
        </is>
      </c>
      <c r="F40" s="4" t="inlineStr">
        <is>
          <t>R15</t>
        </is>
      </c>
      <c r="G40" s="4" t="inlineStr"/>
      <c r="H40" s="11" t="inlineStr"/>
      <c r="I40" s="4" t="inlineStr">
        <is>
          <t>UI Negative</t>
        </is>
      </c>
      <c r="J40" s="4" t="inlineStr">
        <is>
          <t>UI</t>
        </is>
      </c>
      <c r="K40" s="4" t="inlineStr">
        <is>
          <t>Valid agent (AGENT_VALID) signed in via saved session; environment reachable; NEW application open at the address step with every earlier step completed using valid data</t>
        </is>
      </c>
      <c r="L40" s="4" t="inlineStr">
        <is>
          <t>1. Fill a valid address but clear the state selection
2. Click Next</t>
        </is>
      </c>
      <c r="M40" s="4" t="inlineStr">
        <is>
          <t>Generated synthetic data (utils/dataBuilder.js)</t>
        </is>
      </c>
      <c r="N40" s="4" t="inlineStr">
        <is>
          <t>A state-required message is shown and the step does not advance</t>
        </is>
      </c>
      <c r="O40" s="16" t="inlineStr">
        <is>
          <t>Medium</t>
        </is>
      </c>
      <c r="P40" s="15" t="inlineStr">
        <is>
          <t>P2</t>
        </is>
      </c>
      <c r="Q40" s="4" t="inlineStr">
        <is>
          <t>P2</t>
        </is>
      </c>
      <c r="R40" s="4" t="inlineStr">
        <is>
          <t>N</t>
        </is>
      </c>
      <c r="S40" s="4" t="inlineStr">
        <is>
          <t>N</t>
        </is>
      </c>
      <c r="T40" s="4" t="inlineStr">
        <is>
          <t>N</t>
        </is>
      </c>
      <c r="U40" s="4" t="inlineStr">
        <is>
          <t>Screenshot + trace on failure</t>
        </is>
      </c>
      <c r="V40" s="13" t="inlineStr">
        <is>
          <t>Automated</t>
        </is>
      </c>
      <c r="W40" s="4" t="inlineStr">
        <is>
          <t>tests/ui/client.spec.js</t>
        </is>
      </c>
      <c r="X40" s="4" t="inlineStr">
        <is>
          <t>Skips if the state control has no empty option</t>
        </is>
      </c>
      <c r="Y40" s="4" t="inlineStr"/>
      <c r="Z40" s="4" t="inlineStr"/>
      <c r="AA40" s="4" t="inlineStr">
        <is>
          <t>@regression @client @p2</t>
        </is>
      </c>
      <c r="AB40" s="15" t="inlineStr">
        <is>
          <t>Not in smoke scope</t>
        </is>
      </c>
      <c r="AC40" s="15" t="inlineStr">
        <is>
          <t>Failed or skipped (not itemised)</t>
        </is>
      </c>
      <c r="AD40" s="15" t="inlineStr">
        <is>
          <t>Not in smoke scope</t>
        </is>
      </c>
      <c r="AE40" s="15" t="inlineStr">
        <is>
          <t>Not in smoke scope</t>
        </is>
      </c>
      <c r="AF40" s="15" t="inlineStr">
        <is>
          <t>Not in smoke scope</t>
        </is>
      </c>
      <c r="AG40" s="4" t="inlineStr"/>
    </row>
    <row r="41">
      <c r="A41" s="4" t="inlineStr">
        <is>
          <t>TC-PROD-V01</t>
        </is>
      </c>
      <c r="B41" s="4" t="inlineStr">
        <is>
          <t>Catalog displays expected Whole Life products</t>
        </is>
      </c>
      <c r="C41" s="4" t="inlineStr">
        <is>
          <t>Product Selection &amp; Policy Configuration</t>
        </is>
      </c>
      <c r="D41" s="4" t="inlineStr">
        <is>
          <t>PROD-V01</t>
        </is>
      </c>
      <c r="E41" s="4" t="inlineStr">
        <is>
          <t>S1</t>
        </is>
      </c>
      <c r="F41" s="4" t="inlineStr">
        <is>
          <t>R16</t>
        </is>
      </c>
      <c r="G41" s="4" t="inlineStr"/>
      <c r="H41" s="11" t="inlineStr"/>
      <c r="I41" s="4" t="inlineStr">
        <is>
          <t>UI Positive</t>
        </is>
      </c>
      <c r="J41" s="4" t="inlineStr">
        <is>
          <t>UI</t>
        </is>
      </c>
      <c r="K41" s="4" t="inlineStr">
        <is>
          <t>Valid agent (AGENT_VALID) signed in via saved session; environment reachable; NEW application open at the product step with every earlier step completed using valid data</t>
        </is>
      </c>
      <c r="L41" s="4" t="inlineStr">
        <is>
          <t>1. Open the product step
2. Read the product cards</t>
        </is>
      </c>
      <c r="M41" s="4" t="inlineStr">
        <is>
          <t>PRODUCT_NAME_PATTERN (default "whole life")</t>
        </is>
      </c>
      <c r="N41" s="4" t="inlineStr">
        <is>
          <t>At least one product card is shown and at least one matches the Whole Life pattern</t>
        </is>
      </c>
      <c r="O41" s="14" t="inlineStr">
        <is>
          <t>High</t>
        </is>
      </c>
      <c r="P41" s="12" t="inlineStr">
        <is>
          <t>P1</t>
        </is>
      </c>
      <c r="Q41" s="4" t="inlineStr">
        <is>
          <t>P1</t>
        </is>
      </c>
      <c r="R41" s="4" t="inlineStr">
        <is>
          <t>Y</t>
        </is>
      </c>
      <c r="S41" s="4" t="inlineStr">
        <is>
          <t>Y</t>
        </is>
      </c>
      <c r="T41" s="4" t="inlineStr">
        <is>
          <t>N</t>
        </is>
      </c>
      <c r="U41" s="4" t="inlineStr">
        <is>
          <t>Screenshot + trace on failure</t>
        </is>
      </c>
      <c r="V41" s="13" t="inlineStr">
        <is>
          <t>Automated</t>
        </is>
      </c>
      <c r="W41" s="4" t="inlineStr">
        <is>
          <t>tests/ui/product.spec.js</t>
        </is>
      </c>
      <c r="X41" s="4" t="inlineStr"/>
      <c r="Y41" s="4" t="inlineStr"/>
      <c r="Z41" s="4" t="inlineStr"/>
      <c r="AA41" s="4" t="inlineStr">
        <is>
          <t>@regression @product @p1 @smoke @release-gate</t>
        </is>
      </c>
      <c r="AB41" s="12" t="inlineStr">
        <is>
          <t>Failed</t>
        </is>
      </c>
      <c r="AC41" s="12" t="inlineStr">
        <is>
          <t>Failed</t>
        </is>
      </c>
      <c r="AD41" s="13" t="inlineStr">
        <is>
          <t>Passed</t>
        </is>
      </c>
      <c r="AE41" s="13" t="inlineStr">
        <is>
          <t>Passed</t>
        </is>
      </c>
      <c r="AF41" s="13" t="inlineStr">
        <is>
          <t>Passed</t>
        </is>
      </c>
      <c r="AG41" s="4" t="inlineStr">
        <is>
          <t>AD-01, AD-02, AD-04</t>
        </is>
      </c>
    </row>
    <row r="42">
      <c r="A42" s="4" t="inlineStr">
        <is>
          <t>TC-PROD-V02</t>
        </is>
      </c>
      <c r="B42" s="4" t="inlineStr">
        <is>
          <t>Product details page shows features, eligibility, limits</t>
        </is>
      </c>
      <c r="C42" s="4" t="inlineStr">
        <is>
          <t>Product Selection &amp; Policy Configuration</t>
        </is>
      </c>
      <c r="D42" s="4" t="inlineStr">
        <is>
          <t>PROD-V02</t>
        </is>
      </c>
      <c r="E42" s="4" t="inlineStr">
        <is>
          <t>S1</t>
        </is>
      </c>
      <c r="F42" s="4" t="inlineStr">
        <is>
          <t>R16</t>
        </is>
      </c>
      <c r="G42" s="4" t="inlineStr"/>
      <c r="H42" s="11" t="inlineStr"/>
      <c r="I42" s="4" t="inlineStr">
        <is>
          <t>UI Positive</t>
        </is>
      </c>
      <c r="J42" s="4" t="inlineStr">
        <is>
          <t>UI</t>
        </is>
      </c>
      <c r="K42" s="4" t="inlineStr">
        <is>
          <t>Valid agent (AGENT_VALID) signed in via saved session; environment reachable; NEW application open at the product step with every earlier step completed using valid data</t>
        </is>
      </c>
      <c r="L42" s="4" t="inlineStr">
        <is>
          <t>1. Open the details of the first product</t>
        </is>
      </c>
      <c r="M42" s="4" t="inlineStr">
        <is>
          <t>Generated synthetic data (utils/dataBuilder.js)</t>
        </is>
      </c>
      <c r="N42" s="4" t="inlineStr">
        <is>
          <t>Details mention features/benefits and eligibility or limits</t>
        </is>
      </c>
      <c r="O42" s="16" t="inlineStr">
        <is>
          <t>Medium</t>
        </is>
      </c>
      <c r="P42" s="15" t="inlineStr">
        <is>
          <t>P2</t>
        </is>
      </c>
      <c r="Q42" s="4" t="inlineStr">
        <is>
          <t>P2</t>
        </is>
      </c>
      <c r="R42" s="4" t="inlineStr">
        <is>
          <t>N</t>
        </is>
      </c>
      <c r="S42" s="4" t="inlineStr">
        <is>
          <t>N</t>
        </is>
      </c>
      <c r="T42" s="4" t="inlineStr">
        <is>
          <t>N</t>
        </is>
      </c>
      <c r="U42" s="4" t="inlineStr">
        <is>
          <t>Screenshot + trace on failure</t>
        </is>
      </c>
      <c r="V42" s="13" t="inlineStr">
        <is>
          <t>Automated</t>
        </is>
      </c>
      <c r="W42" s="4" t="inlineStr">
        <is>
          <t>tests/ui/product.spec.js</t>
        </is>
      </c>
      <c r="X42" s="4" t="inlineStr">
        <is>
          <t>Skips if no details link exists</t>
        </is>
      </c>
      <c r="Y42" s="4" t="inlineStr"/>
      <c r="Z42" s="4" t="inlineStr"/>
      <c r="AA42" s="4" t="inlineStr">
        <is>
          <t>@regression @product @p2</t>
        </is>
      </c>
      <c r="AB42" s="15" t="inlineStr">
        <is>
          <t>Not in smoke scope</t>
        </is>
      </c>
      <c r="AC42" s="15" t="inlineStr">
        <is>
          <t>Failed or skipped (not itemised)</t>
        </is>
      </c>
      <c r="AD42" s="15" t="inlineStr">
        <is>
          <t>Not in smoke scope</t>
        </is>
      </c>
      <c r="AE42" s="15" t="inlineStr">
        <is>
          <t>Not in smoke scope</t>
        </is>
      </c>
      <c r="AF42" s="15" t="inlineStr">
        <is>
          <t>Not in smoke scope</t>
        </is>
      </c>
      <c r="AG42" s="4" t="inlineStr"/>
    </row>
    <row r="43">
      <c r="A43" s="4" t="inlineStr">
        <is>
          <t>TC-PROD-V03</t>
        </is>
      </c>
      <c r="B43" s="4" t="inlineStr">
        <is>
          <t>Face value below minimum rejected</t>
        </is>
      </c>
      <c r="C43" s="4" t="inlineStr">
        <is>
          <t>Product Selection &amp; Policy Configuration</t>
        </is>
      </c>
      <c r="D43" s="4" t="inlineStr">
        <is>
          <t>PROD-V03</t>
        </is>
      </c>
      <c r="E43" s="4" t="inlineStr">
        <is>
          <t>S1</t>
        </is>
      </c>
      <c r="F43" s="4" t="inlineStr">
        <is>
          <t>R17</t>
        </is>
      </c>
      <c r="G43" s="4" t="inlineStr"/>
      <c r="H43" s="11" t="inlineStr"/>
      <c r="I43" s="4" t="inlineStr">
        <is>
          <t>UI Boundary</t>
        </is>
      </c>
      <c r="J43" s="4" t="inlineStr">
        <is>
          <t>UI</t>
        </is>
      </c>
      <c r="K43" s="4" t="inlineStr">
        <is>
          <t>Valid agent (AGENT_VALID) signed in via saved session; environment reachable; NEW application open at the product step with every earlier step completed using valid data</t>
        </is>
      </c>
      <c r="L43" s="4" t="inlineStr">
        <is>
          <t>1. Select a product
2. Enter face value = minimum - 1
3. Click Next
4. Enter face value = minimum and click Next</t>
        </is>
      </c>
      <c r="M43" s="4" t="inlineStr">
        <is>
          <t>FACE_VALUE_MIN</t>
        </is>
      </c>
      <c r="N43" s="4" t="inlineStr">
        <is>
          <t>minimum-1 is rejected; exactly minimum is accepted</t>
        </is>
      </c>
      <c r="O43" s="14" t="inlineStr">
        <is>
          <t>High</t>
        </is>
      </c>
      <c r="P43" s="15" t="inlineStr">
        <is>
          <t>P2</t>
        </is>
      </c>
      <c r="Q43" s="4" t="inlineStr">
        <is>
          <t>P1</t>
        </is>
      </c>
      <c r="R43" s="4" t="inlineStr">
        <is>
          <t>N</t>
        </is>
      </c>
      <c r="S43" s="4" t="inlineStr">
        <is>
          <t>N</t>
        </is>
      </c>
      <c r="T43" s="4" t="inlineStr">
        <is>
          <t>N</t>
        </is>
      </c>
      <c r="U43" s="4" t="inlineStr">
        <is>
          <t>Screenshot + trace on failure</t>
        </is>
      </c>
      <c r="V43" s="13" t="inlineStr">
        <is>
          <t>Automated</t>
        </is>
      </c>
      <c r="W43" s="4" t="inlineStr">
        <is>
          <t>tests/ui/product.spec.js</t>
        </is>
      </c>
      <c r="X43" s="4" t="inlineStr">
        <is>
          <t>Set FACE_VALUE_MIN (Q13)</t>
        </is>
      </c>
      <c r="Y43" s="4" t="inlineStr">
        <is>
          <t>Q13</t>
        </is>
      </c>
      <c r="Z43" s="4" t="inlineStr"/>
      <c r="AA43" s="4" t="inlineStr">
        <is>
          <t>@regression @product @p2</t>
        </is>
      </c>
      <c r="AB43" s="15" t="inlineStr">
        <is>
          <t>Not in smoke scope</t>
        </is>
      </c>
      <c r="AC43" s="15" t="inlineStr">
        <is>
          <t>Failed or skipped (not itemised)</t>
        </is>
      </c>
      <c r="AD43" s="15" t="inlineStr">
        <is>
          <t>Not in smoke scope</t>
        </is>
      </c>
      <c r="AE43" s="15" t="inlineStr">
        <is>
          <t>Not in smoke scope</t>
        </is>
      </c>
      <c r="AF43" s="15" t="inlineStr">
        <is>
          <t>Not in smoke scope</t>
        </is>
      </c>
      <c r="AG43" s="4" t="inlineStr"/>
    </row>
    <row r="44">
      <c r="A44" s="4" t="inlineStr">
        <is>
          <t>TC-PROD-V04</t>
        </is>
      </c>
      <c r="B44" s="4" t="inlineStr">
        <is>
          <t>Face value above maximum rejected</t>
        </is>
      </c>
      <c r="C44" s="4" t="inlineStr">
        <is>
          <t>Product Selection &amp; Policy Configuration</t>
        </is>
      </c>
      <c r="D44" s="4" t="inlineStr">
        <is>
          <t>PROD-V04</t>
        </is>
      </c>
      <c r="E44" s="4" t="inlineStr">
        <is>
          <t>S1</t>
        </is>
      </c>
      <c r="F44" s="4" t="inlineStr">
        <is>
          <t>R17</t>
        </is>
      </c>
      <c r="G44" s="4" t="inlineStr"/>
      <c r="H44" s="11" t="inlineStr"/>
      <c r="I44" s="4" t="inlineStr">
        <is>
          <t>UI Boundary</t>
        </is>
      </c>
      <c r="J44" s="4" t="inlineStr">
        <is>
          <t>UI</t>
        </is>
      </c>
      <c r="K44" s="4" t="inlineStr">
        <is>
          <t>Valid agent (AGENT_VALID) signed in via saved session; environment reachable; NEW application open at the product step with every earlier step completed using valid data</t>
        </is>
      </c>
      <c r="L44" s="4" t="inlineStr">
        <is>
          <t>1. Select a product
2. Enter face value = maximum + 1
3. Click Next</t>
        </is>
      </c>
      <c r="M44" s="4" t="inlineStr">
        <is>
          <t>FACE_VALUE_MAX</t>
        </is>
      </c>
      <c r="N44" s="4" t="inlineStr">
        <is>
          <t>maximum+1 is rejected with a limit message</t>
        </is>
      </c>
      <c r="O44" s="14" t="inlineStr">
        <is>
          <t>High</t>
        </is>
      </c>
      <c r="P44" s="15" t="inlineStr">
        <is>
          <t>P2</t>
        </is>
      </c>
      <c r="Q44" s="4" t="inlineStr">
        <is>
          <t>P1</t>
        </is>
      </c>
      <c r="R44" s="4" t="inlineStr">
        <is>
          <t>N</t>
        </is>
      </c>
      <c r="S44" s="4" t="inlineStr">
        <is>
          <t>N</t>
        </is>
      </c>
      <c r="T44" s="4" t="inlineStr">
        <is>
          <t>N</t>
        </is>
      </c>
      <c r="U44" s="4" t="inlineStr">
        <is>
          <t>Screenshot + trace on failure</t>
        </is>
      </c>
      <c r="V44" s="13" t="inlineStr">
        <is>
          <t>Automated</t>
        </is>
      </c>
      <c r="W44" s="4" t="inlineStr">
        <is>
          <t>tests/ui/product.spec.js</t>
        </is>
      </c>
      <c r="X44" s="4" t="inlineStr">
        <is>
          <t>Set FACE_VALUE_MAX (Q13)</t>
        </is>
      </c>
      <c r="Y44" s="4" t="inlineStr">
        <is>
          <t>Q13</t>
        </is>
      </c>
      <c r="Z44" s="4" t="inlineStr"/>
      <c r="AA44" s="4" t="inlineStr">
        <is>
          <t>@regression @product @p2</t>
        </is>
      </c>
      <c r="AB44" s="15" t="inlineStr">
        <is>
          <t>Not in smoke scope</t>
        </is>
      </c>
      <c r="AC44" s="15" t="inlineStr">
        <is>
          <t>Failed or skipped (not itemised)</t>
        </is>
      </c>
      <c r="AD44" s="15" t="inlineStr">
        <is>
          <t>Not in smoke scope</t>
        </is>
      </c>
      <c r="AE44" s="15" t="inlineStr">
        <is>
          <t>Not in smoke scope</t>
        </is>
      </c>
      <c r="AF44" s="15" t="inlineStr">
        <is>
          <t>Not in smoke scope</t>
        </is>
      </c>
      <c r="AG44" s="4" t="inlineStr"/>
    </row>
    <row r="45">
      <c r="A45" s="4" t="inlineStr">
        <is>
          <t>TC-PROD-V05</t>
        </is>
      </c>
      <c r="B45" s="4" t="inlineStr">
        <is>
          <t>Premium recalculates when frequency changes</t>
        </is>
      </c>
      <c r="C45" s="4" t="inlineStr">
        <is>
          <t>Product Selection &amp; Policy Configuration</t>
        </is>
      </c>
      <c r="D45" s="4" t="inlineStr">
        <is>
          <t>PROD-V05</t>
        </is>
      </c>
      <c r="E45" s="4" t="inlineStr">
        <is>
          <t>S1</t>
        </is>
      </c>
      <c r="F45" s="4" t="inlineStr">
        <is>
          <t>R18</t>
        </is>
      </c>
      <c r="G45" s="4" t="inlineStr">
        <is>
          <t>RI-12: Premium not updated after configuration change</t>
        </is>
      </c>
      <c r="H45" s="11" t="inlineStr">
        <is>
          <t>SDC-12</t>
        </is>
      </c>
      <c r="I45" s="4" t="inlineStr">
        <is>
          <t>UI Positive</t>
        </is>
      </c>
      <c r="J45" s="4" t="inlineStr">
        <is>
          <t>UI + API</t>
        </is>
      </c>
      <c r="K45" s="4" t="inlineStr">
        <is>
          <t>Valid agent (AGENT_VALID) signed in via saved session; environment reachable; NEW application open at the product step with every earlier step completed using valid data</t>
        </is>
      </c>
      <c r="L45" s="4" t="inlineStr">
        <is>
          <t>1. Select a product and set face value
2. Read the premium for Monthly
3. Change frequency to Annual and read the premium
4. Change back to Monthly</t>
        </is>
      </c>
      <c r="M45" s="4" t="inlineStr">
        <is>
          <t>FACE_VALUE_DEFAULT; frequencies Monthly / Annual</t>
        </is>
      </c>
      <c r="N45" s="4" t="inlineStr">
        <is>
          <t>The displayed premium changes when frequency changes and returns to the original value when switched back</t>
        </is>
      </c>
      <c r="O45" s="14" t="inlineStr">
        <is>
          <t>High</t>
        </is>
      </c>
      <c r="P45" s="12" t="inlineStr">
        <is>
          <t>P1</t>
        </is>
      </c>
      <c r="Q45" s="4" t="inlineStr">
        <is>
          <t>P1</t>
        </is>
      </c>
      <c r="R45" s="4" t="inlineStr">
        <is>
          <t>Y</t>
        </is>
      </c>
      <c r="S45" s="4" t="inlineStr">
        <is>
          <t>N</t>
        </is>
      </c>
      <c r="T45" s="4" t="inlineStr">
        <is>
          <t>N</t>
        </is>
      </c>
      <c r="U45" s="4" t="inlineStr">
        <is>
          <t>Screenshot attached on pass AND fail; trace/video on failure; diagnostics.json (console + 5xx)</t>
        </is>
      </c>
      <c r="V45" s="13" t="inlineStr">
        <is>
          <t>Automated</t>
        </is>
      </c>
      <c r="W45" s="4" t="inlineStr">
        <is>
          <t>tests/ui/product.spec.js</t>
        </is>
      </c>
      <c r="X45" s="4" t="inlineStr"/>
      <c r="Y45" s="4" t="inlineStr"/>
      <c r="Z45" s="4" t="inlineStr"/>
      <c r="AA45" s="4" t="inlineStr">
        <is>
          <t>@regression @product @p1 @release-gate @seeded @api</t>
        </is>
      </c>
      <c r="AB45" s="15" t="inlineStr">
        <is>
          <t>Not in smoke scope</t>
        </is>
      </c>
      <c r="AC45" s="15" t="inlineStr">
        <is>
          <t>Failed or skipped (not itemised)</t>
        </is>
      </c>
      <c r="AD45" s="15" t="inlineStr">
        <is>
          <t>Not in smoke scope</t>
        </is>
      </c>
      <c r="AE45" s="15" t="inlineStr">
        <is>
          <t>Not in smoke scope</t>
        </is>
      </c>
      <c r="AF45" s="15" t="inlineStr">
        <is>
          <t>Not in smoke scope</t>
        </is>
      </c>
      <c r="AG45" s="4" t="inlineStr"/>
    </row>
    <row r="46">
      <c r="A46" s="4" t="inlineStr">
        <is>
          <t>TC-PROD-V06</t>
        </is>
      </c>
      <c r="B46" s="4" t="inlineStr">
        <is>
          <t>Review-page premium matches configuration page</t>
        </is>
      </c>
      <c r="C46" s="4" t="inlineStr">
        <is>
          <t>Product Selection &amp; Policy Configuration</t>
        </is>
      </c>
      <c r="D46" s="4" t="inlineStr">
        <is>
          <t>PROD-V06</t>
        </is>
      </c>
      <c r="E46" s="4" t="inlineStr">
        <is>
          <t>S1</t>
        </is>
      </c>
      <c r="F46" s="4" t="inlineStr">
        <is>
          <t>R18, R19</t>
        </is>
      </c>
      <c r="G46" s="4" t="inlineStr">
        <is>
          <t>RI-12: Premium not updated after configuration change</t>
        </is>
      </c>
      <c r="H46" s="11" t="inlineStr">
        <is>
          <t>SDC-12</t>
        </is>
      </c>
      <c r="I46" s="4" t="inlineStr">
        <is>
          <t>UI Consistency</t>
        </is>
      </c>
      <c r="J46" s="4" t="inlineStr">
        <is>
          <t>UI + DB</t>
        </is>
      </c>
      <c r="K46" s="4" t="inlineStr">
        <is>
          <t>Valid agent (AGENT_VALID) signed in via saved session; environment reachable; NEW application open at the product step with every earlier step completed using valid data</t>
        </is>
      </c>
      <c r="L46" s="4" t="inlineStr">
        <is>
          <t>1. Select product, configure and read the premium
2. Complete riders (none), beneficiaries and documents
3. Open the review step and read the premium</t>
        </is>
      </c>
      <c r="M46" s="4" t="inlineStr">
        <is>
          <t>Generated synthetic data (utils/dataBuilder.js)</t>
        </is>
      </c>
      <c r="N46" s="4" t="inlineStr">
        <is>
          <t>Review premium equals the configured premium</t>
        </is>
      </c>
      <c r="O46" s="14" t="inlineStr">
        <is>
          <t>High</t>
        </is>
      </c>
      <c r="P46" s="12" t="inlineStr">
        <is>
          <t>P1</t>
        </is>
      </c>
      <c r="Q46" s="4" t="inlineStr">
        <is>
          <t>P1</t>
        </is>
      </c>
      <c r="R46" s="4" t="inlineStr">
        <is>
          <t>Y</t>
        </is>
      </c>
      <c r="S46" s="4" t="inlineStr">
        <is>
          <t>N</t>
        </is>
      </c>
      <c r="T46" s="4" t="inlineStr">
        <is>
          <t>N</t>
        </is>
      </c>
      <c r="U46" s="4" t="inlineStr">
        <is>
          <t>Screenshot attached on pass AND fail; trace/video on failure; diagnostics.json (console + 5xx)</t>
        </is>
      </c>
      <c r="V46" s="13" t="inlineStr">
        <is>
          <t>Automated</t>
        </is>
      </c>
      <c r="W46" s="4" t="inlineStr">
        <is>
          <t>tests/ui/product.spec.js</t>
        </is>
      </c>
      <c r="X46" s="4" t="inlineStr"/>
      <c r="Y46" s="4" t="inlineStr"/>
      <c r="Z46" s="4" t="inlineStr"/>
      <c r="AA46" s="4" t="inlineStr">
        <is>
          <t>@regression @product @p1 @release-gate @seeded</t>
        </is>
      </c>
      <c r="AB46" s="15" t="inlineStr">
        <is>
          <t>Not in smoke scope</t>
        </is>
      </c>
      <c r="AC46" s="15" t="inlineStr">
        <is>
          <t>Failed or skipped (not itemised)</t>
        </is>
      </c>
      <c r="AD46" s="15" t="inlineStr">
        <is>
          <t>Not in smoke scope</t>
        </is>
      </c>
      <c r="AE46" s="15" t="inlineStr">
        <is>
          <t>Not in smoke scope</t>
        </is>
      </c>
      <c r="AF46" s="15" t="inlineStr">
        <is>
          <t>Not in smoke scope</t>
        </is>
      </c>
      <c r="AG46" s="4" t="inlineStr"/>
    </row>
    <row r="47">
      <c r="A47" s="4" t="inlineStr">
        <is>
          <t>TC-PROD-V07</t>
        </is>
      </c>
      <c r="B47" s="4" t="inlineStr">
        <is>
          <t>Suitability warning shown for risk-profile mismatch</t>
        </is>
      </c>
      <c r="C47" s="4" t="inlineStr">
        <is>
          <t>Product Selection &amp; Policy Configuration</t>
        </is>
      </c>
      <c r="D47" s="4" t="inlineStr">
        <is>
          <t>PROD-V07</t>
        </is>
      </c>
      <c r="E47" s="4" t="inlineStr">
        <is>
          <t>S1</t>
        </is>
      </c>
      <c r="F47" s="4" t="inlineStr">
        <is>
          <t>R16</t>
        </is>
      </c>
      <c r="G47" s="4" t="inlineStr">
        <is>
          <t>RI-09: Product eligibility not validated against age / suitability</t>
        </is>
      </c>
      <c r="H47" s="11" t="inlineStr"/>
      <c r="I47" s="4" t="inlineStr">
        <is>
          <t>UI Negative</t>
        </is>
      </c>
      <c r="J47" s="4" t="inlineStr">
        <is>
          <t>UI</t>
        </is>
      </c>
      <c r="K47" s="4" t="inlineStr">
        <is>
          <t>Valid agent (AGENT_VALID) signed in via saved session; environment reachable; NEW application open at the kyc step with every earlier step completed using valid data</t>
        </is>
      </c>
      <c r="L47" s="4" t="inlineStr">
        <is>
          <t>1. Set a Conservative risk profile in KYC
2. Select the product whose risk is a known mismatch
3. Observe the product step</t>
        </is>
      </c>
      <c r="M47" s="4" t="inlineStr">
        <is>
          <t>SUITABILITY_PRODUCT_PATTERN</t>
        </is>
      </c>
      <c r="N47" s="4" t="inlineStr">
        <is>
          <t>A suitability warning is displayed</t>
        </is>
      </c>
      <c r="O47" s="16" t="inlineStr">
        <is>
          <t>Medium</t>
        </is>
      </c>
      <c r="P47" s="15" t="inlineStr">
        <is>
          <t>P2</t>
        </is>
      </c>
      <c r="Q47" s="4" t="inlineStr">
        <is>
          <t>P2</t>
        </is>
      </c>
      <c r="R47" s="4" t="inlineStr">
        <is>
          <t>N</t>
        </is>
      </c>
      <c r="S47" s="4" t="inlineStr">
        <is>
          <t>N</t>
        </is>
      </c>
      <c r="T47" s="4" t="inlineStr">
        <is>
          <t>N</t>
        </is>
      </c>
      <c r="U47" s="4" t="inlineStr">
        <is>
          <t>Screenshot + trace on failure</t>
        </is>
      </c>
      <c r="V47" s="13" t="inlineStr">
        <is>
          <t>Automated</t>
        </is>
      </c>
      <c r="W47" s="4" t="inlineStr">
        <is>
          <t>tests/ui/product.spec.js</t>
        </is>
      </c>
      <c r="X47" s="4" t="inlineStr">
        <is>
          <t>Set SUITABILITY_PRODUCT_PATTERN (Q13)</t>
        </is>
      </c>
      <c r="Y47" s="4" t="inlineStr">
        <is>
          <t>Q13</t>
        </is>
      </c>
      <c r="Z47" s="4" t="inlineStr"/>
      <c r="AA47" s="4" t="inlineStr">
        <is>
          <t>@regression @product @p2 @seeded</t>
        </is>
      </c>
      <c r="AB47" s="15" t="inlineStr">
        <is>
          <t>Not in smoke scope</t>
        </is>
      </c>
      <c r="AC47" s="15" t="inlineStr">
        <is>
          <t>Failed or skipped (not itemised)</t>
        </is>
      </c>
      <c r="AD47" s="15" t="inlineStr">
        <is>
          <t>Not in smoke scope</t>
        </is>
      </c>
      <c r="AE47" s="15" t="inlineStr">
        <is>
          <t>Not in smoke scope</t>
        </is>
      </c>
      <c r="AF47" s="15" t="inlineStr">
        <is>
          <t>Not in smoke scope</t>
        </is>
      </c>
      <c r="AG47" s="4" t="inlineStr"/>
    </row>
    <row r="48">
      <c r="A48" s="4" t="inlineStr">
        <is>
          <t>TC-PROD-V08</t>
        </is>
      </c>
      <c r="B48" s="4" t="inlineStr">
        <is>
          <t>Product eligibility validated against client age</t>
        </is>
      </c>
      <c r="C48" s="4" t="inlineStr">
        <is>
          <t>Product Selection &amp; Policy Configuration</t>
        </is>
      </c>
      <c r="D48" s="4" t="inlineStr">
        <is>
          <t>PROD-V08</t>
        </is>
      </c>
      <c r="E48" s="4" t="inlineStr">
        <is>
          <t>S1+</t>
        </is>
      </c>
      <c r="F48" s="4" t="inlineStr">
        <is>
          <t>R16</t>
        </is>
      </c>
      <c r="G48" s="4" t="inlineStr">
        <is>
          <t>RI-09: Product eligibility not validated against age / suitability</t>
        </is>
      </c>
      <c r="H48" s="11" t="inlineStr"/>
      <c r="I48" s="4" t="inlineStr">
        <is>
          <t>UI Negative</t>
        </is>
      </c>
      <c r="J48" s="4" t="inlineStr">
        <is>
          <t>UI + API</t>
        </is>
      </c>
      <c r="K48" s="4" t="inlineStr">
        <is>
          <t>Valid agent (AGENT_VALID) signed in via saved session; environment reachable; NEW application open at the client step (first step)</t>
        </is>
      </c>
      <c r="L48" s="4" t="inlineStr">
        <is>
          <t>1. Create a client of the ineligible age
2. Continue to Product
3. Select the age-restricted product</t>
        </is>
      </c>
      <c r="M48" s="4" t="inlineStr">
        <is>
          <t>INELIGIBLE_AGE, INELIGIBLE_AGE_PRODUCT_PATTERN</t>
        </is>
      </c>
      <c r="N48" s="4" t="inlineStr">
        <is>
          <t>The product is disabled, or selecting it shows an eligibility message and does not advance</t>
        </is>
      </c>
      <c r="O48" s="14" t="inlineStr">
        <is>
          <t>High</t>
        </is>
      </c>
      <c r="P48" s="15" t="inlineStr">
        <is>
          <t>P2</t>
        </is>
      </c>
      <c r="Q48" s="4" t="inlineStr">
        <is>
          <t>P1</t>
        </is>
      </c>
      <c r="R48" s="4" t="inlineStr">
        <is>
          <t>N</t>
        </is>
      </c>
      <c r="S48" s="4" t="inlineStr">
        <is>
          <t>N</t>
        </is>
      </c>
      <c r="T48" s="4" t="inlineStr">
        <is>
          <t>N</t>
        </is>
      </c>
      <c r="U48" s="4" t="inlineStr">
        <is>
          <t>Screenshot attached on pass AND fail; trace/video on failure; diagnostics.json (console + 5xx)</t>
        </is>
      </c>
      <c r="V48" s="13" t="inlineStr">
        <is>
          <t>Automated</t>
        </is>
      </c>
      <c r="W48" s="4" t="inlineStr">
        <is>
          <t>tests/ui/product.spec.js</t>
        </is>
      </c>
      <c r="X48" s="4" t="inlineStr">
        <is>
          <t>Set INELIGIBLE_AGE and INELIGIBLE_AGE_PRODUCT_PATTERN (Q13)</t>
        </is>
      </c>
      <c r="Y48" s="4" t="inlineStr">
        <is>
          <t>Q13</t>
        </is>
      </c>
      <c r="Z48" s="4" t="inlineStr"/>
      <c r="AA48" s="4" t="inlineStr">
        <is>
          <t>@regression @product @p2 @seeded @api</t>
        </is>
      </c>
      <c r="AB48" s="15" t="inlineStr">
        <is>
          <t>Not in smoke scope</t>
        </is>
      </c>
      <c r="AC48" s="15" t="inlineStr">
        <is>
          <t>Failed or skipped (not itemised)</t>
        </is>
      </c>
      <c r="AD48" s="15" t="inlineStr">
        <is>
          <t>Not in smoke scope</t>
        </is>
      </c>
      <c r="AE48" s="15" t="inlineStr">
        <is>
          <t>Not in smoke scope</t>
        </is>
      </c>
      <c r="AF48" s="15" t="inlineStr">
        <is>
          <t>Not in smoke scope</t>
        </is>
      </c>
      <c r="AG48" s="4" t="inlineStr"/>
    </row>
    <row r="49">
      <c r="A49" s="4" t="inlineStr">
        <is>
          <t>TC-PROD-V09</t>
        </is>
      </c>
      <c r="B49" s="4" t="inlineStr">
        <is>
          <t>Payment term and policy term options follow product rules</t>
        </is>
      </c>
      <c r="C49" s="4" t="inlineStr">
        <is>
          <t>Product Selection &amp; Policy Configuration</t>
        </is>
      </c>
      <c r="D49" s="4" t="inlineStr">
        <is>
          <t>PROD-V09</t>
        </is>
      </c>
      <c r="E49" s="4" t="inlineStr">
        <is>
          <t>S1+</t>
        </is>
      </c>
      <c r="F49" s="4" t="inlineStr">
        <is>
          <t>R18</t>
        </is>
      </c>
      <c r="G49" s="4" t="inlineStr"/>
      <c r="H49" s="11" t="inlineStr"/>
      <c r="I49" s="4" t="inlineStr">
        <is>
          <t>UI Positive</t>
        </is>
      </c>
      <c r="J49" s="4" t="inlineStr">
        <is>
          <t>UI</t>
        </is>
      </c>
      <c r="K49" s="4" t="inlineStr">
        <is>
          <t>Valid agent (AGENT_VALID) signed in via saved session; environment reachable; NEW application open at the product step with every earlier step completed using valid data</t>
        </is>
      </c>
      <c r="L49" s="4" t="inlineStr">
        <is>
          <t>1. Select a product
2. Read payment-term and policy-term options</t>
        </is>
      </c>
      <c r="M49" s="4" t="inlineStr">
        <is>
          <t>Generated synthetic data (utils/dataBuilder.js)</t>
        </is>
      </c>
      <c r="N49" s="4" t="inlineStr">
        <is>
          <t>Both lists are non-empty and contain no duplicate options (term-combination rules TBC - Q14)</t>
        </is>
      </c>
      <c r="O49" s="16" t="inlineStr">
        <is>
          <t>Medium</t>
        </is>
      </c>
      <c r="P49" s="15" t="inlineStr">
        <is>
          <t>P2</t>
        </is>
      </c>
      <c r="Q49" s="4" t="inlineStr">
        <is>
          <t>P2</t>
        </is>
      </c>
      <c r="R49" s="4" t="inlineStr">
        <is>
          <t>N</t>
        </is>
      </c>
      <c r="S49" s="4" t="inlineStr">
        <is>
          <t>N</t>
        </is>
      </c>
      <c r="T49" s="4" t="inlineStr">
        <is>
          <t>N</t>
        </is>
      </c>
      <c r="U49" s="4" t="inlineStr">
        <is>
          <t>Screenshot + trace on failure</t>
        </is>
      </c>
      <c r="V49" s="13" t="inlineStr">
        <is>
          <t>Automated</t>
        </is>
      </c>
      <c r="W49" s="4" t="inlineStr">
        <is>
          <t>tests/ui/product.spec.js</t>
        </is>
      </c>
      <c r="X49" s="4" t="inlineStr">
        <is>
          <t>Skips if the terms are not dropdowns</t>
        </is>
      </c>
      <c r="Y49" s="4" t="inlineStr"/>
      <c r="Z49" s="4" t="inlineStr"/>
      <c r="AA49" s="4" t="inlineStr">
        <is>
          <t>@regression @product @p2</t>
        </is>
      </c>
      <c r="AB49" s="15" t="inlineStr">
        <is>
          <t>Not in smoke scope</t>
        </is>
      </c>
      <c r="AC49" s="15" t="inlineStr">
        <is>
          <t>Failed or skipped (not itemised)</t>
        </is>
      </c>
      <c r="AD49" s="15" t="inlineStr">
        <is>
          <t>Not in smoke scope</t>
        </is>
      </c>
      <c r="AE49" s="15" t="inlineStr">
        <is>
          <t>Not in smoke scope</t>
        </is>
      </c>
      <c r="AF49" s="15" t="inlineStr">
        <is>
          <t>Not in smoke scope</t>
        </is>
      </c>
      <c r="AG49" s="4" t="inlineStr"/>
    </row>
    <row r="50">
      <c r="A50" s="4" t="inlineStr">
        <is>
          <t>TC-PROD-V10</t>
        </is>
      </c>
      <c r="B50" s="4" t="inlineStr">
        <is>
          <t>Inactive product cannot be selected</t>
        </is>
      </c>
      <c r="C50" s="4" t="inlineStr">
        <is>
          <t>Product Selection &amp; Policy Configuration</t>
        </is>
      </c>
      <c r="D50" s="4" t="inlineStr">
        <is>
          <t>PROD-V10</t>
        </is>
      </c>
      <c r="E50" s="4" t="inlineStr">
        <is>
          <t>S2+</t>
        </is>
      </c>
      <c r="F50" s="4" t="inlineStr">
        <is>
          <t>R16</t>
        </is>
      </c>
      <c r="G50" s="4" t="inlineStr"/>
      <c r="H50" s="11" t="inlineStr"/>
      <c r="I50" s="4" t="inlineStr">
        <is>
          <t>UI Negative</t>
        </is>
      </c>
      <c r="J50" s="4" t="inlineStr">
        <is>
          <t>UI</t>
        </is>
      </c>
      <c r="K50" s="4" t="inlineStr">
        <is>
          <t>Valid agent (AGENT_VALID) signed in via saved session; environment reachable; NEW application open at the product step with every earlier step completed using valid data</t>
        </is>
      </c>
      <c r="L50" s="4" t="inlineStr">
        <is>
          <t>1. Find product cards marked inactive
2. Try to select one</t>
        </is>
      </c>
      <c r="M50" s="4" t="inlineStr">
        <is>
          <t>Generated synthetic data (utils/dataBuilder.js)</t>
        </is>
      </c>
      <c r="N50" s="4" t="inlineStr">
        <is>
          <t>The select control is disabled (or selection is refused) for every inactive product</t>
        </is>
      </c>
      <c r="O50" s="16" t="inlineStr">
        <is>
          <t>Medium</t>
        </is>
      </c>
      <c r="P50" s="15" t="inlineStr">
        <is>
          <t>P2</t>
        </is>
      </c>
      <c r="Q50" s="4" t="inlineStr">
        <is>
          <t>P2</t>
        </is>
      </c>
      <c r="R50" s="4" t="inlineStr">
        <is>
          <t>N</t>
        </is>
      </c>
      <c r="S50" s="4" t="inlineStr">
        <is>
          <t>N</t>
        </is>
      </c>
      <c r="T50" s="4" t="inlineStr">
        <is>
          <t>N</t>
        </is>
      </c>
      <c r="U50" s="4" t="inlineStr">
        <is>
          <t>Screenshot + trace on failure</t>
        </is>
      </c>
      <c r="V50" s="13" t="inlineStr">
        <is>
          <t>Automated</t>
        </is>
      </c>
      <c r="W50" s="4" t="inlineStr">
        <is>
          <t>tests/ui/product.spec.js</t>
        </is>
      </c>
      <c r="X50" s="4" t="inlineStr">
        <is>
          <t>Skips if the environment shows no inactive product</t>
        </is>
      </c>
      <c r="Y50" s="4" t="inlineStr"/>
      <c r="Z50" s="4" t="inlineStr"/>
      <c r="AA50" s="4" t="inlineStr">
        <is>
          <t>@regression @product @p2</t>
        </is>
      </c>
      <c r="AB50" s="15" t="inlineStr">
        <is>
          <t>Not in smoke scope</t>
        </is>
      </c>
      <c r="AC50" s="15" t="inlineStr">
        <is>
          <t>Failed or skipped (not itemised)</t>
        </is>
      </c>
      <c r="AD50" s="15" t="inlineStr">
        <is>
          <t>Not in smoke scope</t>
        </is>
      </c>
      <c r="AE50" s="15" t="inlineStr">
        <is>
          <t>Not in smoke scope</t>
        </is>
      </c>
      <c r="AF50" s="15" t="inlineStr">
        <is>
          <t>Not in smoke scope</t>
        </is>
      </c>
      <c r="AG50" s="4" t="inlineStr"/>
    </row>
    <row r="51">
      <c r="A51" s="4" t="inlineStr">
        <is>
          <t>TC-PROD-V11</t>
        </is>
      </c>
      <c r="B51" s="4" t="inlineStr">
        <is>
          <t>Product configuration persists after save draft and reload</t>
        </is>
      </c>
      <c r="C51" s="4" t="inlineStr">
        <is>
          <t>Product Selection &amp; Policy Configuration</t>
        </is>
      </c>
      <c r="D51" s="4" t="inlineStr">
        <is>
          <t>PROD-V11</t>
        </is>
      </c>
      <c r="E51" s="4" t="inlineStr">
        <is>
          <t>S2+</t>
        </is>
      </c>
      <c r="F51" s="4" t="inlineStr">
        <is>
          <t>R33, R18</t>
        </is>
      </c>
      <c r="G51" s="4" t="inlineStr">
        <is>
          <t>RI-16: Draft data not persisted</t>
        </is>
      </c>
      <c r="H51" s="11" t="inlineStr">
        <is>
          <t>SDC-16</t>
        </is>
      </c>
      <c r="I51" s="4" t="inlineStr">
        <is>
          <t>UI Positive</t>
        </is>
      </c>
      <c r="J51" s="4" t="inlineStr">
        <is>
          <t>UI + DB</t>
        </is>
      </c>
      <c r="K51" s="4" t="inlineStr">
        <is>
          <t>Valid agent (AGENT_VALID) signed in via saved session; environment reachable; NEW application open at the product step with every earlier step completed using valid data</t>
        </is>
      </c>
      <c r="L51" s="4" t="inlineStr">
        <is>
          <t>1. Select a product and set face value and frequency
2. Save draft
3. Reload the page
4. Read face value and frequency</t>
        </is>
      </c>
      <c r="M51" s="4" t="inlineStr">
        <is>
          <t>Generated synthetic data (utils/dataBuilder.js)</t>
        </is>
      </c>
      <c r="N51" s="4" t="inlineStr">
        <is>
          <t>Face value and frequency are unchanged after reload</t>
        </is>
      </c>
      <c r="O51" s="14" t="inlineStr">
        <is>
          <t>High</t>
        </is>
      </c>
      <c r="P51" s="15" t="inlineStr">
        <is>
          <t>P2</t>
        </is>
      </c>
      <c r="Q51" s="4" t="inlineStr">
        <is>
          <t>P2</t>
        </is>
      </c>
      <c r="R51" s="4" t="inlineStr">
        <is>
          <t>N</t>
        </is>
      </c>
      <c r="S51" s="4" t="inlineStr">
        <is>
          <t>N</t>
        </is>
      </c>
      <c r="T51" s="4" t="inlineStr">
        <is>
          <t>N</t>
        </is>
      </c>
      <c r="U51" s="4" t="inlineStr">
        <is>
          <t>Screenshot attached on pass AND fail; trace/video on failure; diagnostics.json (console + 5xx)</t>
        </is>
      </c>
      <c r="V51" s="13" t="inlineStr">
        <is>
          <t>Automated</t>
        </is>
      </c>
      <c r="W51" s="4" t="inlineStr">
        <is>
          <t>tests/ui/product.spec.js</t>
        </is>
      </c>
      <c r="X51" s="4" t="inlineStr"/>
      <c r="Y51" s="4" t="inlineStr"/>
      <c r="Z51" s="4" t="inlineStr"/>
      <c r="AA51" s="4" t="inlineStr">
        <is>
          <t>@regression @product @p2 @seeded</t>
        </is>
      </c>
      <c r="AB51" s="15" t="inlineStr">
        <is>
          <t>Not in smoke scope</t>
        </is>
      </c>
      <c r="AC51" s="15" t="inlineStr">
        <is>
          <t>Failed or skipped (not itemised)</t>
        </is>
      </c>
      <c r="AD51" s="15" t="inlineStr">
        <is>
          <t>Not in smoke scope</t>
        </is>
      </c>
      <c r="AE51" s="15" t="inlineStr">
        <is>
          <t>Not in smoke scope</t>
        </is>
      </c>
      <c r="AF51" s="15" t="inlineStr">
        <is>
          <t>Not in smoke scope</t>
        </is>
      </c>
      <c r="AG51" s="4" t="inlineStr"/>
    </row>
    <row r="52">
      <c r="A52" s="4" t="inlineStr">
        <is>
          <t>TC-RIDER-V01</t>
        </is>
      </c>
      <c r="B52" s="4" t="inlineStr">
        <is>
          <t>Eligible protection rider (ADB) added to premium summary</t>
        </is>
      </c>
      <c r="C52" s="4" t="inlineStr">
        <is>
          <t>Rider Selection</t>
        </is>
      </c>
      <c r="D52" s="4" t="inlineStr">
        <is>
          <t>RIDER-V01</t>
        </is>
      </c>
      <c r="E52" s="4" t="inlineStr">
        <is>
          <t>S1</t>
        </is>
      </c>
      <c r="F52" s="4" t="inlineStr">
        <is>
          <t>R23</t>
        </is>
      </c>
      <c r="G52" s="4" t="inlineStr"/>
      <c r="H52" s="11" t="inlineStr"/>
      <c r="I52" s="4" t="inlineStr">
        <is>
          <t>UI Positive</t>
        </is>
      </c>
      <c r="J52" s="4" t="inlineStr">
        <is>
          <t>UI</t>
        </is>
      </c>
      <c r="K52" s="4" t="inlineStr">
        <is>
          <t>Valid agent (AGENT_VALID) signed in via saved session; environment reachable; NEW application open at the riders step with every earlier step completed using valid data</t>
        </is>
      </c>
      <c r="L52" s="4" t="inlineStr">
        <is>
          <t>1. Add the Accidental Death Benefit rider with its coverage amount
2. Save and continue, then reopen the riders step
3. Read the rider premium summary</t>
        </is>
      </c>
      <c r="M52" s="4" t="inlineStr">
        <is>
          <t>RIDER_ADB_PATTERN</t>
        </is>
      </c>
      <c r="N52" s="4" t="inlineStr">
        <is>
          <t>The rider is still selected after saving and a rider premium greater than zero appears in the summary (the server calculates it on save; ticking alone leaves it at $0.00)</t>
        </is>
      </c>
      <c r="O52" s="14" t="inlineStr">
        <is>
          <t>High</t>
        </is>
      </c>
      <c r="P52" s="15" t="inlineStr">
        <is>
          <t>P2</t>
        </is>
      </c>
      <c r="Q52" s="4" t="inlineStr">
        <is>
          <t>P1</t>
        </is>
      </c>
      <c r="R52" s="4" t="inlineStr">
        <is>
          <t>N</t>
        </is>
      </c>
      <c r="S52" s="4" t="inlineStr">
        <is>
          <t>Y</t>
        </is>
      </c>
      <c r="T52" s="4" t="inlineStr">
        <is>
          <t>N</t>
        </is>
      </c>
      <c r="U52" s="4" t="inlineStr">
        <is>
          <t>Screenshot + trace on failure</t>
        </is>
      </c>
      <c r="V52" s="13" t="inlineStr">
        <is>
          <t>Automated</t>
        </is>
      </c>
      <c r="W52" s="4" t="inlineStr">
        <is>
          <t>tests/ui/riders.spec.js</t>
        </is>
      </c>
      <c r="X52" s="4" t="inlineStr"/>
      <c r="Y52" s="4" t="inlineStr"/>
      <c r="Z52" s="4" t="inlineStr"/>
      <c r="AA52" s="4" t="inlineStr">
        <is>
          <t>@regression @rider @p2 @smoke</t>
        </is>
      </c>
      <c r="AB52" s="12" t="inlineStr">
        <is>
          <t>Failed</t>
        </is>
      </c>
      <c r="AC52" s="12" t="inlineStr">
        <is>
          <t>Failed</t>
        </is>
      </c>
      <c r="AD52" s="12" t="inlineStr">
        <is>
          <t>Failed</t>
        </is>
      </c>
      <c r="AE52" s="12" t="inlineStr">
        <is>
          <t>Failed</t>
        </is>
      </c>
      <c r="AF52" s="12" t="inlineStr">
        <is>
          <t>Failed</t>
        </is>
      </c>
      <c r="AG52" s="4" t="inlineStr">
        <is>
          <t>AD-01, AD-02, AD-04, AD-09, AD-13</t>
        </is>
      </c>
    </row>
    <row r="53">
      <c r="A53" s="4" t="inlineStr">
        <is>
          <t>TC-RIDER-V02</t>
        </is>
      </c>
      <c r="B53" s="4" t="inlineStr">
        <is>
          <t>Rider coverage cannot exceed base face value</t>
        </is>
      </c>
      <c r="C53" s="4" t="inlineStr">
        <is>
          <t>Rider Selection</t>
        </is>
      </c>
      <c r="D53" s="4" t="inlineStr">
        <is>
          <t>RIDER-V02</t>
        </is>
      </c>
      <c r="E53" s="4" t="inlineStr">
        <is>
          <t>S1</t>
        </is>
      </c>
      <c r="F53" s="4" t="inlineStr">
        <is>
          <t>R20</t>
        </is>
      </c>
      <c r="G53" s="4" t="inlineStr">
        <is>
          <t>RI-10: Rider coverage exceeds base face value</t>
        </is>
      </c>
      <c r="H53" s="11" t="inlineStr">
        <is>
          <t>SDC-10</t>
        </is>
      </c>
      <c r="I53" s="4" t="inlineStr">
        <is>
          <t>UI Boundary</t>
        </is>
      </c>
      <c r="J53" s="4" t="inlineStr">
        <is>
          <t>UI + API</t>
        </is>
      </c>
      <c r="K53" s="4" t="inlineStr">
        <is>
          <t>Valid agent (AGENT_VALID) signed in via saved session; environment reachable; NEW application open at the riders step with every earlier step completed using valid data</t>
        </is>
      </c>
      <c r="L53" s="4" t="inlineStr">
        <is>
          <t>1. Add the ADB rider
2. Enter rider coverage = face value + 1</t>
        </is>
      </c>
      <c r="M53" s="4" t="inlineStr">
        <is>
          <t>FACE_VALUE_DEFAULT + 1</t>
        </is>
      </c>
      <c r="N53" s="4" t="inlineStr">
        <is>
          <t>A rider-exceeds-face-value message is shown and the value is not accepted</t>
        </is>
      </c>
      <c r="O53" s="14" t="inlineStr">
        <is>
          <t>High</t>
        </is>
      </c>
      <c r="P53" s="12" t="inlineStr">
        <is>
          <t>P1</t>
        </is>
      </c>
      <c r="Q53" s="4" t="inlineStr">
        <is>
          <t>P1</t>
        </is>
      </c>
      <c r="R53" s="4" t="inlineStr">
        <is>
          <t>Y</t>
        </is>
      </c>
      <c r="S53" s="4" t="inlineStr">
        <is>
          <t>N</t>
        </is>
      </c>
      <c r="T53" s="4" t="inlineStr">
        <is>
          <t>N</t>
        </is>
      </c>
      <c r="U53" s="4" t="inlineStr">
        <is>
          <t>Screenshot attached on pass AND fail; trace/video on failure; diagnostics.json (console + 5xx)</t>
        </is>
      </c>
      <c r="V53" s="13" t="inlineStr">
        <is>
          <t>Automated</t>
        </is>
      </c>
      <c r="W53" s="4" t="inlineStr">
        <is>
          <t>tests/ui/riders.spec.js</t>
        </is>
      </c>
      <c r="X53" s="4" t="inlineStr"/>
      <c r="Y53" s="4" t="inlineStr"/>
      <c r="Z53" s="4" t="inlineStr"/>
      <c r="AA53" s="4" t="inlineStr">
        <is>
          <t>@regression @rider @p1 @release-gate @seeded @api</t>
        </is>
      </c>
      <c r="AB53" s="15" t="inlineStr">
        <is>
          <t>Not in smoke scope</t>
        </is>
      </c>
      <c r="AC53" s="15" t="inlineStr">
        <is>
          <t>Failed or skipped (not itemised)</t>
        </is>
      </c>
      <c r="AD53" s="15" t="inlineStr">
        <is>
          <t>Not in smoke scope</t>
        </is>
      </c>
      <c r="AE53" s="15" t="inlineStr">
        <is>
          <t>Not in smoke scope</t>
        </is>
      </c>
      <c r="AF53" s="15" t="inlineStr">
        <is>
          <t>Not in smoke scope</t>
        </is>
      </c>
      <c r="AG53" s="4" t="inlineStr"/>
    </row>
    <row r="54">
      <c r="A54" s="4" t="inlineStr">
        <is>
          <t>TC-RIDER-V03</t>
        </is>
      </c>
      <c r="B54" s="4" t="inlineStr">
        <is>
          <t>Age-ineligible rider disabled or blocked</t>
        </is>
      </c>
      <c r="C54" s="4" t="inlineStr">
        <is>
          <t>Rider Selection</t>
        </is>
      </c>
      <c r="D54" s="4" t="inlineStr">
        <is>
          <t>RIDER-V03</t>
        </is>
      </c>
      <c r="E54" s="4" t="inlineStr">
        <is>
          <t>S1</t>
        </is>
      </c>
      <c r="F54" s="4" t="inlineStr">
        <is>
          <t>R22</t>
        </is>
      </c>
      <c r="G54" s="4" t="inlineStr"/>
      <c r="H54" s="11" t="inlineStr"/>
      <c r="I54" s="4" t="inlineStr">
        <is>
          <t>UI Negative</t>
        </is>
      </c>
      <c r="J54" s="4" t="inlineStr">
        <is>
          <t>UI</t>
        </is>
      </c>
      <c r="K54" s="4" t="inlineStr">
        <is>
          <t>Valid agent (AGENT_VALID) signed in via saved session; environment reachable; client step completed with a client of the age that makes the rider ineligible</t>
        </is>
      </c>
      <c r="L54" s="4" t="inlineStr">
        <is>
          <t>1. Open the rider step
2. Try to add the age-restricted rider</t>
        </is>
      </c>
      <c r="M54" s="4" t="inlineStr">
        <is>
          <t>RIDER_AGE_RESTRICTED_PATTERN; client age 64</t>
        </is>
      </c>
      <c r="N54" s="4" t="inlineStr">
        <is>
          <t>The rider control is disabled, or adding it shows an eligibility message</t>
        </is>
      </c>
      <c r="O54" s="16" t="inlineStr">
        <is>
          <t>Medium</t>
        </is>
      </c>
      <c r="P54" s="15" t="inlineStr">
        <is>
          <t>P2</t>
        </is>
      </c>
      <c r="Q54" s="4" t="inlineStr">
        <is>
          <t>P2</t>
        </is>
      </c>
      <c r="R54" s="4" t="inlineStr">
        <is>
          <t>N</t>
        </is>
      </c>
      <c r="S54" s="4" t="inlineStr">
        <is>
          <t>N</t>
        </is>
      </c>
      <c r="T54" s="4" t="inlineStr">
        <is>
          <t>N</t>
        </is>
      </c>
      <c r="U54" s="4" t="inlineStr">
        <is>
          <t>Screenshot + trace on failure</t>
        </is>
      </c>
      <c r="V54" s="13" t="inlineStr">
        <is>
          <t>Automated</t>
        </is>
      </c>
      <c r="W54" s="4" t="inlineStr">
        <is>
          <t>tests/ui/riders.spec.js</t>
        </is>
      </c>
      <c r="X54" s="4" t="inlineStr">
        <is>
          <t>Set RIDER_AGE_RESTRICTED_PATTERN (Q15)</t>
        </is>
      </c>
      <c r="Y54" s="4" t="inlineStr">
        <is>
          <t>Q15</t>
        </is>
      </c>
      <c r="Z54" s="4" t="inlineStr"/>
      <c r="AA54" s="4" t="inlineStr">
        <is>
          <t>@regression @rider @p2</t>
        </is>
      </c>
      <c r="AB54" s="15" t="inlineStr">
        <is>
          <t>Not in smoke scope</t>
        </is>
      </c>
      <c r="AC54" s="15" t="inlineStr">
        <is>
          <t>Failed or skipped (not itemised)</t>
        </is>
      </c>
      <c r="AD54" s="15" t="inlineStr">
        <is>
          <t>Not in smoke scope</t>
        </is>
      </c>
      <c r="AE54" s="15" t="inlineStr">
        <is>
          <t>Not in smoke scope</t>
        </is>
      </c>
      <c r="AF54" s="15" t="inlineStr">
        <is>
          <t>Not in smoke scope</t>
        </is>
      </c>
      <c r="AG54" s="4" t="inlineStr"/>
    </row>
    <row r="55">
      <c r="A55" s="4" t="inlineStr">
        <is>
          <t>TC-RIDER-V04</t>
        </is>
      </c>
      <c r="B55" s="4" t="inlineStr">
        <is>
          <t>Maximum rider count enforced with message</t>
        </is>
      </c>
      <c r="C55" s="4" t="inlineStr">
        <is>
          <t>Rider Selection</t>
        </is>
      </c>
      <c r="D55" s="4" t="inlineStr">
        <is>
          <t>RIDER-V04</t>
        </is>
      </c>
      <c r="E55" s="4" t="inlineStr">
        <is>
          <t>S1</t>
        </is>
      </c>
      <c r="F55" s="4" t="inlineStr">
        <is>
          <t>R22</t>
        </is>
      </c>
      <c r="G55" s="4" t="inlineStr"/>
      <c r="H55" s="11" t="inlineStr"/>
      <c r="I55" s="4" t="inlineStr">
        <is>
          <t>UI Boundary</t>
        </is>
      </c>
      <c r="J55" s="4" t="inlineStr">
        <is>
          <t>UI</t>
        </is>
      </c>
      <c r="K55" s="4" t="inlineStr">
        <is>
          <t>Valid agent (AGENT_VALID) signed in via saved session; environment reachable; NEW application open at the riders step with every earlier step completed using valid data</t>
        </is>
      </c>
      <c r="L55" s="4" t="inlineStr">
        <is>
          <t>1. Add riders up to the maximum
2. Try to add one more</t>
        </is>
      </c>
      <c r="M55" s="4" t="inlineStr">
        <is>
          <t>MAX_RIDERS</t>
        </is>
      </c>
      <c r="N55" s="4" t="inlineStr">
        <is>
          <t>The extra rider is refused with a maximum-count message</t>
        </is>
      </c>
      <c r="O55" s="16" t="inlineStr">
        <is>
          <t>Medium</t>
        </is>
      </c>
      <c r="P55" s="15" t="inlineStr">
        <is>
          <t>P2</t>
        </is>
      </c>
      <c r="Q55" s="4" t="inlineStr">
        <is>
          <t>P2</t>
        </is>
      </c>
      <c r="R55" s="4" t="inlineStr">
        <is>
          <t>N</t>
        </is>
      </c>
      <c r="S55" s="4" t="inlineStr">
        <is>
          <t>N</t>
        </is>
      </c>
      <c r="T55" s="4" t="inlineStr">
        <is>
          <t>N</t>
        </is>
      </c>
      <c r="U55" s="4" t="inlineStr">
        <is>
          <t>Screenshot + trace on failure</t>
        </is>
      </c>
      <c r="V55" s="13" t="inlineStr">
        <is>
          <t>Automated</t>
        </is>
      </c>
      <c r="W55" s="4" t="inlineStr">
        <is>
          <t>tests/ui/riders.spec.js</t>
        </is>
      </c>
      <c r="X55" s="4" t="inlineStr">
        <is>
          <t>MAX_RIDERS defaults to the confirmed 4; needs more rider cards than the maximum</t>
        </is>
      </c>
      <c r="Y55" s="4" t="inlineStr"/>
      <c r="Z55" s="4" t="inlineStr"/>
      <c r="AA55" s="4" t="inlineStr">
        <is>
          <t>@regression @rider @p2</t>
        </is>
      </c>
      <c r="AB55" s="15" t="inlineStr">
        <is>
          <t>Not in smoke scope</t>
        </is>
      </c>
      <c r="AC55" s="15" t="inlineStr">
        <is>
          <t>Failed or skipped (not itemised)</t>
        </is>
      </c>
      <c r="AD55" s="15" t="inlineStr">
        <is>
          <t>Not in smoke scope</t>
        </is>
      </c>
      <c r="AE55" s="15" t="inlineStr">
        <is>
          <t>Not in smoke scope</t>
        </is>
      </c>
      <c r="AF55" s="15" t="inlineStr">
        <is>
          <t>Not in smoke scope</t>
        </is>
      </c>
      <c r="AG55" s="4" t="inlineStr"/>
    </row>
    <row r="56">
      <c r="A56" s="4" t="inlineStr">
        <is>
          <t>TC-RIDER-V05</t>
        </is>
      </c>
      <c r="B56" s="4" t="inlineStr">
        <is>
          <t>Mutually exclusive waiver riders cannot both be selected</t>
        </is>
      </c>
      <c r="C56" s="4" t="inlineStr">
        <is>
          <t>Rider Selection</t>
        </is>
      </c>
      <c r="D56" s="4" t="inlineStr">
        <is>
          <t>RIDER-V05</t>
        </is>
      </c>
      <c r="E56" s="4" t="inlineStr">
        <is>
          <t>S1</t>
        </is>
      </c>
      <c r="F56" s="4" t="inlineStr">
        <is>
          <t>R21</t>
        </is>
      </c>
      <c r="G56" s="4" t="inlineStr">
        <is>
          <t>RI-11: Exclusive waiver riders both selectable</t>
        </is>
      </c>
      <c r="H56" s="11" t="inlineStr"/>
      <c r="I56" s="4" t="inlineStr">
        <is>
          <t>UI Negative</t>
        </is>
      </c>
      <c r="J56" s="4" t="inlineStr">
        <is>
          <t>UI</t>
        </is>
      </c>
      <c r="K56" s="4" t="inlineStr">
        <is>
          <t>Valid agent (AGENT_VALID) signed in via saved session; environment reachable; NEW application open at the riders step with every earlier step completed using valid data</t>
        </is>
      </c>
      <c r="L56" s="4" t="inlineStr">
        <is>
          <t>1. Add waiver rider A
2. Try to add waiver rider B</t>
        </is>
      </c>
      <c r="M56" s="4" t="inlineStr">
        <is>
          <t>RIDER_WAIVER_A_PATTERN / RIDER_WAIVER_B_PATTERN</t>
        </is>
      </c>
      <c r="N56" s="4" t="inlineStr">
        <is>
          <t>Rider B is disabled or refused with a message; both are never selected at once</t>
        </is>
      </c>
      <c r="O56" s="14" t="inlineStr">
        <is>
          <t>High</t>
        </is>
      </c>
      <c r="P56" s="15" t="inlineStr">
        <is>
          <t>P2</t>
        </is>
      </c>
      <c r="Q56" s="4" t="inlineStr">
        <is>
          <t>P1</t>
        </is>
      </c>
      <c r="R56" s="4" t="inlineStr">
        <is>
          <t>N</t>
        </is>
      </c>
      <c r="S56" s="4" t="inlineStr">
        <is>
          <t>N</t>
        </is>
      </c>
      <c r="T56" s="4" t="inlineStr">
        <is>
          <t>N</t>
        </is>
      </c>
      <c r="U56" s="4" t="inlineStr">
        <is>
          <t>Screenshot attached on pass AND fail; trace/video on failure; diagnostics.json (console + 5xx)</t>
        </is>
      </c>
      <c r="V56" s="13" t="inlineStr">
        <is>
          <t>Automated</t>
        </is>
      </c>
      <c r="W56" s="4" t="inlineStr">
        <is>
          <t>tests/ui/riders.spec.js</t>
        </is>
      </c>
      <c r="X56" s="4" t="inlineStr">
        <is>
          <t>Set RIDER_WAIVER_A_PATTERN and RIDER_WAIVER_B_PATTERN (Q15)</t>
        </is>
      </c>
      <c r="Y56" s="4" t="inlineStr">
        <is>
          <t>Q15</t>
        </is>
      </c>
      <c r="Z56" s="4" t="inlineStr"/>
      <c r="AA56" s="4" t="inlineStr">
        <is>
          <t>@regression @rider @p2 @seeded</t>
        </is>
      </c>
      <c r="AB56" s="15" t="inlineStr">
        <is>
          <t>Not in smoke scope</t>
        </is>
      </c>
      <c r="AC56" s="15" t="inlineStr">
        <is>
          <t>Failed or skipped (not itemised)</t>
        </is>
      </c>
      <c r="AD56" s="15" t="inlineStr">
        <is>
          <t>Not in smoke scope</t>
        </is>
      </c>
      <c r="AE56" s="15" t="inlineStr">
        <is>
          <t>Not in smoke scope</t>
        </is>
      </c>
      <c r="AF56" s="15" t="inlineStr">
        <is>
          <t>Not in smoke scope</t>
        </is>
      </c>
      <c r="AG56" s="4" t="inlineStr"/>
    </row>
    <row r="57">
      <c r="A57" s="4" t="inlineStr">
        <is>
          <t>TC-RIDER-V06</t>
        </is>
      </c>
      <c r="B57" s="4" t="inlineStr">
        <is>
          <t>Critical illness rider triggers health questionnaire</t>
        </is>
      </c>
      <c r="C57" s="4" t="inlineStr">
        <is>
          <t>Rider Selection</t>
        </is>
      </c>
      <c r="D57" s="4" t="inlineStr">
        <is>
          <t>RIDER-V06</t>
        </is>
      </c>
      <c r="E57" s="4" t="inlineStr">
        <is>
          <t>S1</t>
        </is>
      </c>
      <c r="F57" s="4" t="inlineStr">
        <is>
          <t>R22</t>
        </is>
      </c>
      <c r="G57" s="4" t="inlineStr"/>
      <c r="H57" s="11" t="inlineStr"/>
      <c r="I57" s="4" t="inlineStr">
        <is>
          <t>UI Positive</t>
        </is>
      </c>
      <c r="J57" s="4" t="inlineStr">
        <is>
          <t>UI</t>
        </is>
      </c>
      <c r="K57" s="4" t="inlineStr">
        <is>
          <t>Valid agent (AGENT_VALID) signed in via saved session; environment reachable; NEW application open at the riders step with every earlier step completed using valid data</t>
        </is>
      </c>
      <c r="L57" s="4" t="inlineStr">
        <is>
          <t>1. Add the Critical Illness rider</t>
        </is>
      </c>
      <c r="M57" s="4" t="inlineStr">
        <is>
          <t>RIDER_CRITICAL_ILLNESS_PATTERN</t>
        </is>
      </c>
      <c r="N57" s="4" t="inlineStr">
        <is>
          <t>The health questionnaire is displayed</t>
        </is>
      </c>
      <c r="O57" s="16" t="inlineStr">
        <is>
          <t>Medium</t>
        </is>
      </c>
      <c r="P57" s="15" t="inlineStr">
        <is>
          <t>P2</t>
        </is>
      </c>
      <c r="Q57" s="4" t="inlineStr">
        <is>
          <t>P2</t>
        </is>
      </c>
      <c r="R57" s="4" t="inlineStr">
        <is>
          <t>N</t>
        </is>
      </c>
      <c r="S57" s="4" t="inlineStr">
        <is>
          <t>N</t>
        </is>
      </c>
      <c r="T57" s="4" t="inlineStr">
        <is>
          <t>N</t>
        </is>
      </c>
      <c r="U57" s="4" t="inlineStr">
        <is>
          <t>Screenshot + trace on failure</t>
        </is>
      </c>
      <c r="V57" s="13" t="inlineStr">
        <is>
          <t>Automated</t>
        </is>
      </c>
      <c r="W57" s="4" t="inlineStr">
        <is>
          <t>tests/ui/riders.spec.js</t>
        </is>
      </c>
      <c r="X57" s="4" t="inlineStr">
        <is>
          <t>Skips if no critical illness rider is offered</t>
        </is>
      </c>
      <c r="Y57" s="4" t="inlineStr"/>
      <c r="Z57" s="4" t="inlineStr"/>
      <c r="AA57" s="4" t="inlineStr">
        <is>
          <t>@regression @rider @p2</t>
        </is>
      </c>
      <c r="AB57" s="15" t="inlineStr">
        <is>
          <t>Not in smoke scope</t>
        </is>
      </c>
      <c r="AC57" s="15" t="inlineStr">
        <is>
          <t>Failed or skipped (not itemised)</t>
        </is>
      </c>
      <c r="AD57" s="15" t="inlineStr">
        <is>
          <t>Not in smoke scope</t>
        </is>
      </c>
      <c r="AE57" s="15" t="inlineStr">
        <is>
          <t>Not in smoke scope</t>
        </is>
      </c>
      <c r="AF57" s="15" t="inlineStr">
        <is>
          <t>Not in smoke scope</t>
        </is>
      </c>
      <c r="AG57" s="4" t="inlineStr"/>
    </row>
    <row r="58">
      <c r="A58" s="4" t="inlineStr">
        <is>
          <t>TC-RIDER-V07</t>
        </is>
      </c>
      <c r="B58" s="4" t="inlineStr">
        <is>
          <t>Rider premium itemized and total premium updated</t>
        </is>
      </c>
      <c r="C58" s="4" t="inlineStr">
        <is>
          <t>Rider Selection</t>
        </is>
      </c>
      <c r="D58" s="4" t="inlineStr">
        <is>
          <t>RIDER-V07</t>
        </is>
      </c>
      <c r="E58" s="4" t="inlineStr">
        <is>
          <t>S1</t>
        </is>
      </c>
      <c r="F58" s="4" t="inlineStr">
        <is>
          <t>R23</t>
        </is>
      </c>
      <c r="G58" s="4" t="inlineStr">
        <is>
          <t>RI-12: Premium not updated after configuration change</t>
        </is>
      </c>
      <c r="H58" s="11" t="inlineStr">
        <is>
          <t>SDC-12</t>
        </is>
      </c>
      <c r="I58" s="4" t="inlineStr">
        <is>
          <t>UI Positive</t>
        </is>
      </c>
      <c r="J58" s="4" t="inlineStr">
        <is>
          <t>UI</t>
        </is>
      </c>
      <c r="K58" s="4" t="inlineStr">
        <is>
          <t>Valid agent (AGENT_VALID) signed in via saved session; environment reachable; NEW application open at the riders step with every earlier step completed using valid data</t>
        </is>
      </c>
      <c r="L58" s="4" t="inlineStr">
        <is>
          <t>1. Add the ADB rider and save
2. Complete the journey to the review page
3. Read Base Policy Premium, Rider Premium and Total Modal Premium</t>
        </is>
      </c>
      <c r="M58" s="4" t="inlineStr">
        <is>
          <t>Generated synthetic data (utils/dataBuilder.js)</t>
        </is>
      </c>
      <c r="N58" s="4" t="inlineStr">
        <is>
          <t>Rider premium is itemised (&gt; 0) and Total Modal Premium = Base Policy Premium + Rider Premium (to 2 decimals)</t>
        </is>
      </c>
      <c r="O58" s="14" t="inlineStr">
        <is>
          <t>High</t>
        </is>
      </c>
      <c r="P58" s="15" t="inlineStr">
        <is>
          <t>P2</t>
        </is>
      </c>
      <c r="Q58" s="4" t="inlineStr">
        <is>
          <t>P1</t>
        </is>
      </c>
      <c r="R58" s="4" t="inlineStr">
        <is>
          <t>N</t>
        </is>
      </c>
      <c r="S58" s="4" t="inlineStr">
        <is>
          <t>N</t>
        </is>
      </c>
      <c r="T58" s="4" t="inlineStr">
        <is>
          <t>N</t>
        </is>
      </c>
      <c r="U58" s="4" t="inlineStr">
        <is>
          <t>Screenshot attached on pass AND fail; trace/video on failure; diagnostics.json (console + 5xx)</t>
        </is>
      </c>
      <c r="V58" s="13" t="inlineStr">
        <is>
          <t>Automated</t>
        </is>
      </c>
      <c r="W58" s="4" t="inlineStr">
        <is>
          <t>tests/ui/riders.spec.js</t>
        </is>
      </c>
      <c r="X58" s="4" t="inlineStr"/>
      <c r="Y58" s="4" t="inlineStr"/>
      <c r="Z58" s="4" t="inlineStr"/>
      <c r="AA58" s="4" t="inlineStr">
        <is>
          <t>@regression @rider @p2 @seeded</t>
        </is>
      </c>
      <c r="AB58" s="15" t="inlineStr">
        <is>
          <t>Not in smoke scope</t>
        </is>
      </c>
      <c r="AC58" s="15" t="inlineStr">
        <is>
          <t>Failed or skipped (not itemised)</t>
        </is>
      </c>
      <c r="AD58" s="15" t="inlineStr">
        <is>
          <t>Not in smoke scope</t>
        </is>
      </c>
      <c r="AE58" s="15" t="inlineStr">
        <is>
          <t>Not in smoke scope</t>
        </is>
      </c>
      <c r="AF58" s="15" t="inlineStr">
        <is>
          <t>Not in smoke scope</t>
        </is>
      </c>
      <c r="AG58" s="4" t="inlineStr">
        <is>
          <t>AD-13</t>
        </is>
      </c>
    </row>
    <row r="59">
      <c r="A59" s="4" t="inlineStr">
        <is>
          <t>TC-BEN-V01</t>
        </is>
      </c>
      <c r="B59" s="4" t="inlineStr">
        <is>
          <t>Valid primary beneficiary added (card/row appears)</t>
        </is>
      </c>
      <c r="C59" s="4" t="inlineStr">
        <is>
          <t>Beneficiary Management</t>
        </is>
      </c>
      <c r="D59" s="4" t="inlineStr">
        <is>
          <t>BEN-V01</t>
        </is>
      </c>
      <c r="E59" s="4" t="inlineStr">
        <is>
          <t>S1</t>
        </is>
      </c>
      <c r="F59" s="4" t="inlineStr">
        <is>
          <t>R24</t>
        </is>
      </c>
      <c r="G59" s="4" t="inlineStr"/>
      <c r="H59" s="11" t="inlineStr"/>
      <c r="I59" s="4" t="inlineStr">
        <is>
          <t>UI Positive</t>
        </is>
      </c>
      <c r="J59" s="4" t="inlineStr">
        <is>
          <t>UI</t>
        </is>
      </c>
      <c r="K59" s="4" t="inlineStr">
        <is>
          <t>Valid agent (AGENT_VALID) signed in via saved session; environment reachable; NEW application open at the beneficiaries step with every earlier step completed using valid data</t>
        </is>
      </c>
      <c r="L59" s="4" t="inlineStr">
        <is>
          <t>1. Fill an individual primary beneficiary with 100% allocation
2. Save</t>
        </is>
      </c>
      <c r="M59" s="4" t="inlineStr">
        <is>
          <t>Generated synthetic data (utils/dataBuilder.js)</t>
        </is>
      </c>
      <c r="N59" s="4" t="inlineStr">
        <is>
          <t>One beneficiary row appears containing the entered name</t>
        </is>
      </c>
      <c r="O59" s="14" t="inlineStr">
        <is>
          <t>High</t>
        </is>
      </c>
      <c r="P59" s="15" t="inlineStr">
        <is>
          <t>P2</t>
        </is>
      </c>
      <c r="Q59" s="4" t="inlineStr">
        <is>
          <t>P1</t>
        </is>
      </c>
      <c r="R59" s="4" t="inlineStr">
        <is>
          <t>N</t>
        </is>
      </c>
      <c r="S59" s="4" t="inlineStr">
        <is>
          <t>Y</t>
        </is>
      </c>
      <c r="T59" s="4" t="inlineStr">
        <is>
          <t>N</t>
        </is>
      </c>
      <c r="U59" s="4" t="inlineStr">
        <is>
          <t>Screenshot + trace on failure</t>
        </is>
      </c>
      <c r="V59" s="13" t="inlineStr">
        <is>
          <t>Automated</t>
        </is>
      </c>
      <c r="W59" s="4" t="inlineStr">
        <is>
          <t>tests/ui/beneficiaries.spec.js</t>
        </is>
      </c>
      <c r="X59" s="4" t="inlineStr"/>
      <c r="Y59" s="4" t="inlineStr"/>
      <c r="Z59" s="4" t="inlineStr"/>
      <c r="AA59" s="4" t="inlineStr">
        <is>
          <t>@regression @beneficiary @p2 @smoke</t>
        </is>
      </c>
      <c r="AB59" s="12" t="inlineStr">
        <is>
          <t>Failed</t>
        </is>
      </c>
      <c r="AC59" s="12" t="inlineStr">
        <is>
          <t>Failed</t>
        </is>
      </c>
      <c r="AD59" s="12" t="inlineStr">
        <is>
          <t>Failed</t>
        </is>
      </c>
      <c r="AE59" s="13" t="inlineStr">
        <is>
          <t>Passed</t>
        </is>
      </c>
      <c r="AF59" s="13" t="inlineStr">
        <is>
          <t>Passed</t>
        </is>
      </c>
      <c r="AG59" s="4" t="inlineStr">
        <is>
          <t>AD-01, AD-02, AD-04, AD-06, AD-09</t>
        </is>
      </c>
    </row>
    <row r="60">
      <c r="A60" s="4" t="inlineStr">
        <is>
          <t>TC-BEN-V02</t>
        </is>
      </c>
      <c r="B60" s="4" t="inlineStr">
        <is>
          <t>Primary allocation below 100% blocks progression</t>
        </is>
      </c>
      <c r="C60" s="4" t="inlineStr">
        <is>
          <t>Beneficiary Management</t>
        </is>
      </c>
      <c r="D60" s="4" t="inlineStr">
        <is>
          <t>BEN-V02</t>
        </is>
      </c>
      <c r="E60" s="4" t="inlineStr">
        <is>
          <t>S1</t>
        </is>
      </c>
      <c r="F60" s="4" t="inlineStr">
        <is>
          <t>R24</t>
        </is>
      </c>
      <c r="G60" s="4" t="inlineStr">
        <is>
          <t>RI-13: Allocation below / above 100% allowed</t>
        </is>
      </c>
      <c r="H60" s="11" t="inlineStr">
        <is>
          <t>SDC-13</t>
        </is>
      </c>
      <c r="I60" s="4" t="inlineStr">
        <is>
          <t>UI Boundary</t>
        </is>
      </c>
      <c r="J60" s="4" t="inlineStr">
        <is>
          <t>UI + API + DB</t>
        </is>
      </c>
      <c r="K60" s="4" t="inlineStr">
        <is>
          <t>Valid agent (AGENT_VALID) signed in via saved session; environment reachable; NEW application open at the beneficiaries step with every earlier step completed using valid data</t>
        </is>
      </c>
      <c r="L60" s="4" t="inlineStr">
        <is>
          <t>1. Add one primary beneficiary with 60% (and 99%)
2. Click Next</t>
        </is>
      </c>
      <c r="M60" s="4" t="inlineStr">
        <is>
          <t>Allocations 60 and 99</t>
        </is>
      </c>
      <c r="N60" s="4" t="inlineStr">
        <is>
          <t>Progression is blocked with an allocation message (total must equal 100)</t>
        </is>
      </c>
      <c r="O60" s="14" t="inlineStr">
        <is>
          <t>High</t>
        </is>
      </c>
      <c r="P60" s="12" t="inlineStr">
        <is>
          <t>P1</t>
        </is>
      </c>
      <c r="Q60" s="4" t="inlineStr">
        <is>
          <t>P1</t>
        </is>
      </c>
      <c r="R60" s="4" t="inlineStr">
        <is>
          <t>Y</t>
        </is>
      </c>
      <c r="S60" s="4" t="inlineStr">
        <is>
          <t>N</t>
        </is>
      </c>
      <c r="T60" s="4" t="inlineStr">
        <is>
          <t>N</t>
        </is>
      </c>
      <c r="U60" s="4" t="inlineStr">
        <is>
          <t>Screenshot attached on pass AND fail; trace/video on failure; diagnostics.json (console + 5xx)</t>
        </is>
      </c>
      <c r="V60" s="13" t="inlineStr">
        <is>
          <t>Automated</t>
        </is>
      </c>
      <c r="W60" s="4" t="inlineStr">
        <is>
          <t>tests/ui/beneficiaries.spec.js</t>
        </is>
      </c>
      <c r="X60" s="4" t="inlineStr"/>
      <c r="Y60" s="4" t="inlineStr"/>
      <c r="Z60" s="4" t="inlineStr"/>
      <c r="AA60" s="4" t="inlineStr">
        <is>
          <t>@regression @beneficiary @p1 @release-gate @seeded @api</t>
        </is>
      </c>
      <c r="AB60" s="15" t="inlineStr">
        <is>
          <t>Not in smoke scope</t>
        </is>
      </c>
      <c r="AC60" s="12" t="inlineStr">
        <is>
          <t>Failed</t>
        </is>
      </c>
      <c r="AD60" s="15" t="inlineStr">
        <is>
          <t>Not in smoke scope</t>
        </is>
      </c>
      <c r="AE60" s="15" t="inlineStr">
        <is>
          <t>Not in smoke scope</t>
        </is>
      </c>
      <c r="AF60" s="15" t="inlineStr">
        <is>
          <t>Not in smoke scope</t>
        </is>
      </c>
      <c r="AG60" s="4" t="inlineStr"/>
    </row>
    <row r="61">
      <c r="A61" s="4" t="inlineStr">
        <is>
          <t>TC-BEN-V03</t>
        </is>
      </c>
      <c r="B61" s="4" t="inlineStr">
        <is>
          <t>Primary allocation above 100% blocks progression</t>
        </is>
      </c>
      <c r="C61" s="4" t="inlineStr">
        <is>
          <t>Beneficiary Management</t>
        </is>
      </c>
      <c r="D61" s="4" t="inlineStr">
        <is>
          <t>BEN-V03</t>
        </is>
      </c>
      <c r="E61" s="4" t="inlineStr">
        <is>
          <t>S1</t>
        </is>
      </c>
      <c r="F61" s="4" t="inlineStr">
        <is>
          <t>R24</t>
        </is>
      </c>
      <c r="G61" s="4" t="inlineStr">
        <is>
          <t>RI-13: Allocation below / above 100% allowed</t>
        </is>
      </c>
      <c r="H61" s="11" t="inlineStr">
        <is>
          <t>SDC-13</t>
        </is>
      </c>
      <c r="I61" s="4" t="inlineStr">
        <is>
          <t>UI Boundary</t>
        </is>
      </c>
      <c r="J61" s="4" t="inlineStr">
        <is>
          <t>UI + API + DB</t>
        </is>
      </c>
      <c r="K61" s="4" t="inlineStr">
        <is>
          <t>Valid agent (AGENT_VALID) signed in via saved session; environment reachable; NEW application open at the beneficiaries step with every earlier step completed using valid data</t>
        </is>
      </c>
      <c r="L61" s="4" t="inlineStr">
        <is>
          <t>1. Add primary beneficiaries with 60% and 60% (total 120%)
2. Click Next</t>
        </is>
      </c>
      <c r="M61" s="4" t="inlineStr">
        <is>
          <t>Allocations 60 + 60 (and a single 101)</t>
        </is>
      </c>
      <c r="N61" s="4" t="inlineStr">
        <is>
          <t>Progression is blocked with an allocation message</t>
        </is>
      </c>
      <c r="O61" s="14" t="inlineStr">
        <is>
          <t>High</t>
        </is>
      </c>
      <c r="P61" s="15" t="inlineStr">
        <is>
          <t>P2</t>
        </is>
      </c>
      <c r="Q61" s="4" t="inlineStr">
        <is>
          <t>P1</t>
        </is>
      </c>
      <c r="R61" s="4" t="inlineStr">
        <is>
          <t>N</t>
        </is>
      </c>
      <c r="S61" s="4" t="inlineStr">
        <is>
          <t>N</t>
        </is>
      </c>
      <c r="T61" s="4" t="inlineStr">
        <is>
          <t>N</t>
        </is>
      </c>
      <c r="U61" s="4" t="inlineStr">
        <is>
          <t>Screenshot attached on pass AND fail; trace/video on failure; diagnostics.json (console + 5xx)</t>
        </is>
      </c>
      <c r="V61" s="13" t="inlineStr">
        <is>
          <t>Automated</t>
        </is>
      </c>
      <c r="W61" s="4" t="inlineStr">
        <is>
          <t>tests/ui/beneficiaries.spec.js</t>
        </is>
      </c>
      <c r="X61" s="4" t="inlineStr"/>
      <c r="Y61" s="4" t="inlineStr"/>
      <c r="Z61" s="4" t="inlineStr"/>
      <c r="AA61" s="4" t="inlineStr">
        <is>
          <t>@regression @beneficiary @p2 @seeded @api</t>
        </is>
      </c>
      <c r="AB61" s="15" t="inlineStr">
        <is>
          <t>Not in smoke scope</t>
        </is>
      </c>
      <c r="AC61" s="12" t="inlineStr">
        <is>
          <t>Failed</t>
        </is>
      </c>
      <c r="AD61" s="15" t="inlineStr">
        <is>
          <t>Not in smoke scope</t>
        </is>
      </c>
      <c r="AE61" s="15" t="inlineStr">
        <is>
          <t>Not in smoke scope</t>
        </is>
      </c>
      <c r="AF61" s="15" t="inlineStr">
        <is>
          <t>Not in smoke scope</t>
        </is>
      </c>
      <c r="AG61" s="4" t="inlineStr"/>
    </row>
    <row r="62">
      <c r="A62" s="4" t="inlineStr">
        <is>
          <t>TC-BEN-V04</t>
        </is>
      </c>
      <c r="B62" s="4" t="inlineStr">
        <is>
          <t>Secondary allocation validated separately</t>
        </is>
      </c>
      <c r="C62" s="4" t="inlineStr">
        <is>
          <t>Beneficiary Management</t>
        </is>
      </c>
      <c r="D62" s="4" t="inlineStr">
        <is>
          <t>BEN-V04</t>
        </is>
      </c>
      <c r="E62" s="4" t="inlineStr">
        <is>
          <t>S1</t>
        </is>
      </c>
      <c r="F62" s="4" t="inlineStr">
        <is>
          <t>R24</t>
        </is>
      </c>
      <c r="G62" s="4" t="inlineStr"/>
      <c r="H62" s="11" t="inlineStr"/>
      <c r="I62" s="4" t="inlineStr">
        <is>
          <t>UI Negative</t>
        </is>
      </c>
      <c r="J62" s="4" t="inlineStr">
        <is>
          <t>UI</t>
        </is>
      </c>
      <c r="K62" s="4" t="inlineStr">
        <is>
          <t>Valid agent (AGENT_VALID) signed in via saved session; environment reachable; NEW application open at the beneficiaries step with every earlier step completed using valid data</t>
        </is>
      </c>
      <c r="L62" s="4" t="inlineStr">
        <is>
          <t>1. Add a primary beneficiary with 100%
2. Add a secondary with 50%
3. Click Next
4. Add a second secondary with 50%
5. Click Next</t>
        </is>
      </c>
      <c r="M62" s="4" t="inlineStr">
        <is>
          <t>Generated synthetic data (utils/dataBuilder.js)</t>
        </is>
      </c>
      <c r="N62" s="4" t="inlineStr">
        <is>
          <t>Secondary total of 50% blocks progression; with secondary total 100% progression succeeds</t>
        </is>
      </c>
      <c r="O62" s="16" t="inlineStr">
        <is>
          <t>Medium</t>
        </is>
      </c>
      <c r="P62" s="15" t="inlineStr">
        <is>
          <t>P2</t>
        </is>
      </c>
      <c r="Q62" s="4" t="inlineStr">
        <is>
          <t>P2</t>
        </is>
      </c>
      <c r="R62" s="4" t="inlineStr">
        <is>
          <t>N</t>
        </is>
      </c>
      <c r="S62" s="4" t="inlineStr">
        <is>
          <t>N</t>
        </is>
      </c>
      <c r="T62" s="4" t="inlineStr">
        <is>
          <t>N</t>
        </is>
      </c>
      <c r="U62" s="4" t="inlineStr">
        <is>
          <t>Screenshot + trace on failure</t>
        </is>
      </c>
      <c r="V62" s="13" t="inlineStr">
        <is>
          <t>Automated</t>
        </is>
      </c>
      <c r="W62" s="4" t="inlineStr">
        <is>
          <t>tests/ui/beneficiaries.spec.js</t>
        </is>
      </c>
      <c r="X62" s="4" t="inlineStr"/>
      <c r="Y62" s="4" t="inlineStr"/>
      <c r="Z62" s="4" t="inlineStr"/>
      <c r="AA62" s="4" t="inlineStr">
        <is>
          <t>@regression @beneficiary @p2</t>
        </is>
      </c>
      <c r="AB62" s="15" t="inlineStr">
        <is>
          <t>Not in smoke scope</t>
        </is>
      </c>
      <c r="AC62" s="12" t="inlineStr">
        <is>
          <t>Failed</t>
        </is>
      </c>
      <c r="AD62" s="15" t="inlineStr">
        <is>
          <t>Not in smoke scope</t>
        </is>
      </c>
      <c r="AE62" s="15" t="inlineStr">
        <is>
          <t>Not in smoke scope</t>
        </is>
      </c>
      <c r="AF62" s="15" t="inlineStr">
        <is>
          <t>Not in smoke scope</t>
        </is>
      </c>
      <c r="AG62" s="4" t="inlineStr"/>
    </row>
    <row r="63">
      <c r="A63" s="4" t="inlineStr">
        <is>
          <t>TC-BEN-V05</t>
        </is>
      </c>
      <c r="B63" s="4" t="inlineStr">
        <is>
          <t>Minor beneficiary requires guardian details</t>
        </is>
      </c>
      <c r="C63" s="4" t="inlineStr">
        <is>
          <t>Beneficiary Management</t>
        </is>
      </c>
      <c r="D63" s="4" t="inlineStr">
        <is>
          <t>BEN-V05</t>
        </is>
      </c>
      <c r="E63" s="4" t="inlineStr">
        <is>
          <t>S1</t>
        </is>
      </c>
      <c r="F63" s="4" t="inlineStr">
        <is>
          <t>R25</t>
        </is>
      </c>
      <c r="G63" s="4" t="inlineStr">
        <is>
          <t>RI-14: Minor beneficiary guardian not required</t>
        </is>
      </c>
      <c r="H63" s="11" t="inlineStr">
        <is>
          <t>SDC-14</t>
        </is>
      </c>
      <c r="I63" s="4" t="inlineStr">
        <is>
          <t>UI Negative</t>
        </is>
      </c>
      <c r="J63" s="4" t="inlineStr">
        <is>
          <t>UI + API + DB</t>
        </is>
      </c>
      <c r="K63" s="4" t="inlineStr">
        <is>
          <t>Valid agent (AGENT_VALID) signed in via saved session; environment reachable; NEW application open at the beneficiaries step with every earlier step completed using valid data</t>
        </is>
      </c>
      <c r="L63" s="4" t="inlineStr">
        <is>
          <t>1. Add a beneficiary aged 10 WITHOUT guardian details and save/continue
2. Add guardian name and relationship and continue</t>
        </is>
      </c>
      <c r="M63" s="4" t="inlineStr">
        <is>
          <t>dobForAge(10)</t>
        </is>
      </c>
      <c r="N63" s="4" t="inlineStr">
        <is>
          <t>Missing guardian is refused with a guardian message; with guardian details it is accepted</t>
        </is>
      </c>
      <c r="O63" s="14" t="inlineStr">
        <is>
          <t>High</t>
        </is>
      </c>
      <c r="P63" s="12" t="inlineStr">
        <is>
          <t>P1</t>
        </is>
      </c>
      <c r="Q63" s="4" t="inlineStr">
        <is>
          <t>P1</t>
        </is>
      </c>
      <c r="R63" s="4" t="inlineStr">
        <is>
          <t>Y</t>
        </is>
      </c>
      <c r="S63" s="4" t="inlineStr">
        <is>
          <t>N</t>
        </is>
      </c>
      <c r="T63" s="4" t="inlineStr">
        <is>
          <t>N</t>
        </is>
      </c>
      <c r="U63" s="4" t="inlineStr">
        <is>
          <t>Screenshot attached on pass AND fail; trace/video on failure; diagnostics.json (console + 5xx)</t>
        </is>
      </c>
      <c r="V63" s="13" t="inlineStr">
        <is>
          <t>Automated</t>
        </is>
      </c>
      <c r="W63" s="4" t="inlineStr">
        <is>
          <t>tests/ui/beneficiaries.spec.js</t>
        </is>
      </c>
      <c r="X63" s="4" t="inlineStr"/>
      <c r="Y63" s="4" t="inlineStr"/>
      <c r="Z63" s="4" t="inlineStr"/>
      <c r="AA63" s="4" t="inlineStr">
        <is>
          <t>@regression @beneficiary @p1 @release-gate @seeded @api</t>
        </is>
      </c>
      <c r="AB63" s="15" t="inlineStr">
        <is>
          <t>Not in smoke scope</t>
        </is>
      </c>
      <c r="AC63" s="12" t="inlineStr">
        <is>
          <t>Failed</t>
        </is>
      </c>
      <c r="AD63" s="15" t="inlineStr">
        <is>
          <t>Not in smoke scope</t>
        </is>
      </c>
      <c r="AE63" s="15" t="inlineStr">
        <is>
          <t>Not in smoke scope</t>
        </is>
      </c>
      <c r="AF63" s="15" t="inlineStr">
        <is>
          <t>Not in smoke scope</t>
        </is>
      </c>
      <c r="AG63" s="4" t="inlineStr"/>
    </row>
    <row r="64">
      <c r="A64" s="4" t="inlineStr">
        <is>
          <t>TC-BEN-V06</t>
        </is>
      </c>
      <c r="B64" s="4" t="inlineStr">
        <is>
          <t>Trust type shows Trust Name, Trustee Name, Trust Date</t>
        </is>
      </c>
      <c r="C64" s="4" t="inlineStr">
        <is>
          <t>Beneficiary Management</t>
        </is>
      </c>
      <c r="D64" s="4" t="inlineStr">
        <is>
          <t>BEN-V06</t>
        </is>
      </c>
      <c r="E64" s="4" t="inlineStr">
        <is>
          <t>S1</t>
        </is>
      </c>
      <c r="F64" s="4" t="inlineStr">
        <is>
          <t>R27</t>
        </is>
      </c>
      <c r="G64" s="4" t="inlineStr"/>
      <c r="H64" s="11" t="inlineStr"/>
      <c r="I64" s="4" t="inlineStr">
        <is>
          <t>UI Positive</t>
        </is>
      </c>
      <c r="J64" s="4" t="inlineStr">
        <is>
          <t>UI</t>
        </is>
      </c>
      <c r="K64" s="4" t="inlineStr">
        <is>
          <t>Valid agent (AGENT_VALID) signed in via saved session; environment reachable; NEW application open at the beneficiaries step with every earlier step completed using valid data</t>
        </is>
      </c>
      <c r="L64" s="4" t="inlineStr">
        <is>
          <t>1. Open the add form
2. Select beneficiary type Trust</t>
        </is>
      </c>
      <c r="M64" s="4" t="inlineStr">
        <is>
          <t>Generated synthetic data (utils/dataBuilder.js)</t>
        </is>
      </c>
      <c r="N64" s="4" t="inlineStr">
        <is>
          <t>Trust name, trustee name and trust date fields are visible</t>
        </is>
      </c>
      <c r="O64" s="13" t="inlineStr">
        <is>
          <t>Low</t>
        </is>
      </c>
      <c r="P64" s="15" t="inlineStr">
        <is>
          <t>P3</t>
        </is>
      </c>
      <c r="Q64" s="4" t="inlineStr">
        <is>
          <t>P3</t>
        </is>
      </c>
      <c r="R64" s="4" t="inlineStr">
        <is>
          <t>N</t>
        </is>
      </c>
      <c r="S64" s="4" t="inlineStr">
        <is>
          <t>N</t>
        </is>
      </c>
      <c r="T64" s="4" t="inlineStr">
        <is>
          <t>N</t>
        </is>
      </c>
      <c r="U64" s="4" t="inlineStr">
        <is>
          <t>Screenshot + trace on failure</t>
        </is>
      </c>
      <c r="V64" s="13" t="inlineStr">
        <is>
          <t>Automated</t>
        </is>
      </c>
      <c r="W64" s="4" t="inlineStr">
        <is>
          <t>tests/ui/beneficiaries.spec.js</t>
        </is>
      </c>
      <c r="X64" s="4" t="inlineStr"/>
      <c r="Y64" s="4" t="inlineStr"/>
      <c r="Z64" s="4" t="inlineStr"/>
      <c r="AA64" s="4" t="inlineStr">
        <is>
          <t>@regression @beneficiary @p3</t>
        </is>
      </c>
      <c r="AB64" s="15" t="inlineStr">
        <is>
          <t>Not in smoke scope</t>
        </is>
      </c>
      <c r="AC64" s="12" t="inlineStr">
        <is>
          <t>Failed</t>
        </is>
      </c>
      <c r="AD64" s="15" t="inlineStr">
        <is>
          <t>Not in smoke scope</t>
        </is>
      </c>
      <c r="AE64" s="15" t="inlineStr">
        <is>
          <t>Not in smoke scope</t>
        </is>
      </c>
      <c r="AF64" s="15" t="inlineStr">
        <is>
          <t>Not in smoke scope</t>
        </is>
      </c>
      <c r="AG64" s="4" t="inlineStr"/>
    </row>
    <row r="65">
      <c r="A65" s="4" t="inlineStr">
        <is>
          <t>TC-BEN-V07</t>
        </is>
      </c>
      <c r="B65" s="4" t="inlineStr">
        <is>
          <t>Organization type shows registration and contact fields</t>
        </is>
      </c>
      <c r="C65" s="4" t="inlineStr">
        <is>
          <t>Beneficiary Management</t>
        </is>
      </c>
      <c r="D65" s="4" t="inlineStr">
        <is>
          <t>BEN-V07</t>
        </is>
      </c>
      <c r="E65" s="4" t="inlineStr">
        <is>
          <t>S1</t>
        </is>
      </c>
      <c r="F65" s="4" t="inlineStr">
        <is>
          <t>R27</t>
        </is>
      </c>
      <c r="G65" s="4" t="inlineStr"/>
      <c r="H65" s="11" t="inlineStr"/>
      <c r="I65" s="4" t="inlineStr">
        <is>
          <t>UI Positive</t>
        </is>
      </c>
      <c r="J65" s="4" t="inlineStr">
        <is>
          <t>UI</t>
        </is>
      </c>
      <c r="K65" s="4" t="inlineStr">
        <is>
          <t>Valid agent (AGENT_VALID) signed in via saved session; environment reachable; NEW application open at the beneficiaries step with every earlier step completed using valid data</t>
        </is>
      </c>
      <c r="L65" s="4" t="inlineStr">
        <is>
          <t>1. Open the add form
2. Select beneficiary type Organization</t>
        </is>
      </c>
      <c r="M65" s="4" t="inlineStr">
        <is>
          <t>Generated synthetic data (utils/dataBuilder.js)</t>
        </is>
      </c>
      <c r="N65" s="4" t="inlineStr">
        <is>
          <t>Organization name, registration and contact fields are visible</t>
        </is>
      </c>
      <c r="O65" s="13" t="inlineStr">
        <is>
          <t>Low</t>
        </is>
      </c>
      <c r="P65" s="15" t="inlineStr">
        <is>
          <t>P3</t>
        </is>
      </c>
      <c r="Q65" s="4" t="inlineStr">
        <is>
          <t>P3</t>
        </is>
      </c>
      <c r="R65" s="4" t="inlineStr">
        <is>
          <t>N</t>
        </is>
      </c>
      <c r="S65" s="4" t="inlineStr">
        <is>
          <t>N</t>
        </is>
      </c>
      <c r="T65" s="4" t="inlineStr">
        <is>
          <t>N</t>
        </is>
      </c>
      <c r="U65" s="4" t="inlineStr">
        <is>
          <t>Screenshot + trace on failure</t>
        </is>
      </c>
      <c r="V65" s="13" t="inlineStr">
        <is>
          <t>Automated</t>
        </is>
      </c>
      <c r="W65" s="4" t="inlineStr">
        <is>
          <t>tests/ui/beneficiaries.spec.js</t>
        </is>
      </c>
      <c r="X65" s="4" t="inlineStr"/>
      <c r="Y65" s="4" t="inlineStr"/>
      <c r="Z65" s="4" t="inlineStr"/>
      <c r="AA65" s="4" t="inlineStr">
        <is>
          <t>@regression @beneficiary @p3</t>
        </is>
      </c>
      <c r="AB65" s="15" t="inlineStr">
        <is>
          <t>Not in smoke scope</t>
        </is>
      </c>
      <c r="AC65" s="12" t="inlineStr">
        <is>
          <t>Failed</t>
        </is>
      </c>
      <c r="AD65" s="15" t="inlineStr">
        <is>
          <t>Not in smoke scope</t>
        </is>
      </c>
      <c r="AE65" s="15" t="inlineStr">
        <is>
          <t>Not in smoke scope</t>
        </is>
      </c>
      <c r="AF65" s="15" t="inlineStr">
        <is>
          <t>Not in smoke scope</t>
        </is>
      </c>
      <c r="AG65" s="4" t="inlineStr"/>
    </row>
    <row r="66">
      <c r="A66" s="4" t="inlineStr">
        <is>
          <t>TC-BEN-V08</t>
        </is>
      </c>
      <c r="B66" s="4" t="inlineStr">
        <is>
          <t>Duplicate beneficiary (Name + DOB + Relationship) blocked</t>
        </is>
      </c>
      <c r="C66" s="4" t="inlineStr">
        <is>
          <t>Beneficiary Management</t>
        </is>
      </c>
      <c r="D66" s="4" t="inlineStr">
        <is>
          <t>BEN-V08</t>
        </is>
      </c>
      <c r="E66" s="4" t="inlineStr">
        <is>
          <t>S1</t>
        </is>
      </c>
      <c r="F66" s="4" t="inlineStr">
        <is>
          <t>R26</t>
        </is>
      </c>
      <c r="G66" s="4" t="inlineStr">
        <is>
          <t>RI-15: Duplicate beneficiaries not blocked</t>
        </is>
      </c>
      <c r="H66" s="11" t="inlineStr">
        <is>
          <t>SDC-15</t>
        </is>
      </c>
      <c r="I66" s="4" t="inlineStr">
        <is>
          <t>UI Negative</t>
        </is>
      </c>
      <c r="J66" s="4" t="inlineStr">
        <is>
          <t>UI + API</t>
        </is>
      </c>
      <c r="K66" s="4" t="inlineStr">
        <is>
          <t>Valid agent (AGENT_VALID) signed in via saved session; environment reachable; NEW application open at the beneficiaries step with every earlier step completed using valid data</t>
        </is>
      </c>
      <c r="L66" s="4" t="inlineStr">
        <is>
          <t>1. Add a beneficiary (50%)
2. Add a second with the SAME name, DOB and relationship</t>
        </is>
      </c>
      <c r="M66" s="4" t="inlineStr">
        <is>
          <t>Generated synthetic data (utils/dataBuilder.js)</t>
        </is>
      </c>
      <c r="N66" s="4" t="inlineStr">
        <is>
          <t>The duplicate is refused with a duplicate message and only one row remains</t>
        </is>
      </c>
      <c r="O66" s="16" t="inlineStr">
        <is>
          <t>Medium</t>
        </is>
      </c>
      <c r="P66" s="15" t="inlineStr">
        <is>
          <t>P2</t>
        </is>
      </c>
      <c r="Q66" s="4" t="inlineStr">
        <is>
          <t>P2</t>
        </is>
      </c>
      <c r="R66" s="4" t="inlineStr">
        <is>
          <t>N</t>
        </is>
      </c>
      <c r="S66" s="4" t="inlineStr">
        <is>
          <t>N</t>
        </is>
      </c>
      <c r="T66" s="4" t="inlineStr">
        <is>
          <t>N</t>
        </is>
      </c>
      <c r="U66" s="4" t="inlineStr">
        <is>
          <t>Screenshot attached on pass AND fail; trace/video on failure; diagnostics.json (console + 5xx)</t>
        </is>
      </c>
      <c r="V66" s="13" t="inlineStr">
        <is>
          <t>Automated</t>
        </is>
      </c>
      <c r="W66" s="4" t="inlineStr">
        <is>
          <t>tests/ui/beneficiaries.spec.js</t>
        </is>
      </c>
      <c r="X66" s="4" t="inlineStr"/>
      <c r="Y66" s="4" t="inlineStr"/>
      <c r="Z66" s="4" t="inlineStr"/>
      <c r="AA66" s="4" t="inlineStr">
        <is>
          <t>@regression @beneficiary @p2 @seeded @api</t>
        </is>
      </c>
      <c r="AB66" s="15" t="inlineStr">
        <is>
          <t>Not in smoke scope</t>
        </is>
      </c>
      <c r="AC66" s="12" t="inlineStr">
        <is>
          <t>Failed</t>
        </is>
      </c>
      <c r="AD66" s="15" t="inlineStr">
        <is>
          <t>Not in smoke scope</t>
        </is>
      </c>
      <c r="AE66" s="15" t="inlineStr">
        <is>
          <t>Not in smoke scope</t>
        </is>
      </c>
      <c r="AF66" s="15" t="inlineStr">
        <is>
          <t>Not in smoke scope</t>
        </is>
      </c>
      <c r="AG66" s="4" t="inlineStr"/>
    </row>
    <row r="67">
      <c r="A67" s="4" t="inlineStr">
        <is>
          <t>TC-BEN-V09</t>
        </is>
      </c>
      <c r="B67" s="4" t="inlineStr">
        <is>
          <t>Removing a beneficiary updates running allocation total</t>
        </is>
      </c>
      <c r="C67" s="4" t="inlineStr">
        <is>
          <t>Beneficiary Management</t>
        </is>
      </c>
      <c r="D67" s="4" t="inlineStr">
        <is>
          <t>BEN-V09</t>
        </is>
      </c>
      <c r="E67" s="4" t="inlineStr">
        <is>
          <t>S1</t>
        </is>
      </c>
      <c r="F67" s="4" t="inlineStr">
        <is>
          <t>R28</t>
        </is>
      </c>
      <c r="G67" s="4" t="inlineStr"/>
      <c r="H67" s="11" t="inlineStr"/>
      <c r="I67" s="4" t="inlineStr">
        <is>
          <t>UI Positive</t>
        </is>
      </c>
      <c r="J67" s="4" t="inlineStr">
        <is>
          <t>UI</t>
        </is>
      </c>
      <c r="K67" s="4" t="inlineStr">
        <is>
          <t>Valid agent (AGENT_VALID) signed in via saved session; environment reachable; NEW application open at the beneficiaries step with every earlier step completed using valid data</t>
        </is>
      </c>
      <c r="L67" s="4" t="inlineStr">
        <is>
          <t>1. Add two primary beneficiaries (60% and 40%)
2. Remove the first</t>
        </is>
      </c>
      <c r="M67" s="4" t="inlineStr">
        <is>
          <t>Generated synthetic data (utils/dataBuilder.js)</t>
        </is>
      </c>
      <c r="N67" s="4" t="inlineStr">
        <is>
          <t>Row count drops from 2 to 1; where the page shows a running total it becomes 40</t>
        </is>
      </c>
      <c r="O67" s="16" t="inlineStr">
        <is>
          <t>Medium</t>
        </is>
      </c>
      <c r="P67" s="15" t="inlineStr">
        <is>
          <t>P2</t>
        </is>
      </c>
      <c r="Q67" s="4" t="inlineStr">
        <is>
          <t>P2</t>
        </is>
      </c>
      <c r="R67" s="4" t="inlineStr">
        <is>
          <t>N</t>
        </is>
      </c>
      <c r="S67" s="4" t="inlineStr">
        <is>
          <t>N</t>
        </is>
      </c>
      <c r="T67" s="4" t="inlineStr">
        <is>
          <t>N</t>
        </is>
      </c>
      <c r="U67" s="4" t="inlineStr">
        <is>
          <t>Screenshot + trace on failure</t>
        </is>
      </c>
      <c r="V67" s="13" t="inlineStr">
        <is>
          <t>Automated</t>
        </is>
      </c>
      <c r="W67" s="4" t="inlineStr">
        <is>
          <t>tests/ui/beneficiaries.spec.js</t>
        </is>
      </c>
      <c r="X67" s="4" t="inlineStr"/>
      <c r="Y67" s="4" t="inlineStr"/>
      <c r="Z67" s="4" t="inlineStr"/>
      <c r="AA67" s="4" t="inlineStr">
        <is>
          <t>@regression @beneficiary @p2</t>
        </is>
      </c>
      <c r="AB67" s="15" t="inlineStr">
        <is>
          <t>Not in smoke scope</t>
        </is>
      </c>
      <c r="AC67" s="15" t="inlineStr">
        <is>
          <t>Failed or skipped (not itemised)</t>
        </is>
      </c>
      <c r="AD67" s="15" t="inlineStr">
        <is>
          <t>Not in smoke scope</t>
        </is>
      </c>
      <c r="AE67" s="15" t="inlineStr">
        <is>
          <t>Not in smoke scope</t>
        </is>
      </c>
      <c r="AF67" s="15" t="inlineStr">
        <is>
          <t>Not in smoke scope</t>
        </is>
      </c>
      <c r="AG67" s="4" t="inlineStr"/>
    </row>
    <row r="68">
      <c r="A68" s="4" t="inlineStr">
        <is>
          <t>TC-BEN-V10</t>
        </is>
      </c>
      <c r="B68" s="4" t="inlineStr">
        <is>
          <t>At least one primary beneficiary is mandatory</t>
        </is>
      </c>
      <c r="C68" s="4" t="inlineStr">
        <is>
          <t>Beneficiary Management</t>
        </is>
      </c>
      <c r="D68" s="4" t="inlineStr">
        <is>
          <t>BEN-V10</t>
        </is>
      </c>
      <c r="E68" s="4" t="inlineStr">
        <is>
          <t>S1+</t>
        </is>
      </c>
      <c r="F68" s="4" t="inlineStr">
        <is>
          <t>R24</t>
        </is>
      </c>
      <c r="G68" s="4" t="inlineStr"/>
      <c r="H68" s="11" t="inlineStr"/>
      <c r="I68" s="4" t="inlineStr">
        <is>
          <t>UI Negative</t>
        </is>
      </c>
      <c r="J68" s="4" t="inlineStr">
        <is>
          <t>UI</t>
        </is>
      </c>
      <c r="K68" s="4" t="inlineStr">
        <is>
          <t>Valid agent (AGENT_VALID) signed in via saved session; environment reachable; NEW application open at the beneficiaries step with every earlier step completed using valid data</t>
        </is>
      </c>
      <c r="L68" s="4" t="inlineStr">
        <is>
          <t>1. Click Next with no beneficiaries
2. Add only a SECONDARY beneficiary and click Next</t>
        </is>
      </c>
      <c r="M68" s="4" t="inlineStr">
        <is>
          <t>Generated synthetic data (utils/dataBuilder.js)</t>
        </is>
      </c>
      <c r="N68" s="4" t="inlineStr">
        <is>
          <t>Progression is blocked in both cases</t>
        </is>
      </c>
      <c r="O68" s="14" t="inlineStr">
        <is>
          <t>High</t>
        </is>
      </c>
      <c r="P68" s="15" t="inlineStr">
        <is>
          <t>P2</t>
        </is>
      </c>
      <c r="Q68" s="4" t="inlineStr">
        <is>
          <t>P1</t>
        </is>
      </c>
      <c r="R68" s="4" t="inlineStr">
        <is>
          <t>N</t>
        </is>
      </c>
      <c r="S68" s="4" t="inlineStr">
        <is>
          <t>N</t>
        </is>
      </c>
      <c r="T68" s="4" t="inlineStr">
        <is>
          <t>N</t>
        </is>
      </c>
      <c r="U68" s="4" t="inlineStr">
        <is>
          <t>Screenshot + trace on failure</t>
        </is>
      </c>
      <c r="V68" s="13" t="inlineStr">
        <is>
          <t>Automated</t>
        </is>
      </c>
      <c r="W68" s="4" t="inlineStr">
        <is>
          <t>tests/ui/beneficiaries.spec.js</t>
        </is>
      </c>
      <c r="X68" s="4" t="inlineStr"/>
      <c r="Y68" s="4" t="inlineStr"/>
      <c r="Z68" s="4" t="inlineStr"/>
      <c r="AA68" s="4" t="inlineStr">
        <is>
          <t>@regression @beneficiary @p2</t>
        </is>
      </c>
      <c r="AB68" s="15" t="inlineStr">
        <is>
          <t>Not in smoke scope</t>
        </is>
      </c>
      <c r="AC68" s="15" t="inlineStr">
        <is>
          <t>Failed or skipped (not itemised)</t>
        </is>
      </c>
      <c r="AD68" s="15" t="inlineStr">
        <is>
          <t>Not in smoke scope</t>
        </is>
      </c>
      <c r="AE68" s="15" t="inlineStr">
        <is>
          <t>Not in smoke scope</t>
        </is>
      </c>
      <c r="AF68" s="15" t="inlineStr">
        <is>
          <t>Not in smoke scope</t>
        </is>
      </c>
      <c r="AG68" s="4" t="inlineStr"/>
    </row>
    <row r="69">
      <c r="A69" s="4" t="inlineStr">
        <is>
          <t>TC-BEN-V11</t>
        </is>
      </c>
      <c r="B69" s="4" t="inlineStr">
        <is>
          <t>Irrevocable beneficiary triggers legal confirmation dialog</t>
        </is>
      </c>
      <c r="C69" s="4" t="inlineStr">
        <is>
          <t>Beneficiary Management</t>
        </is>
      </c>
      <c r="D69" s="4" t="inlineStr">
        <is>
          <t>BEN-V11</t>
        </is>
      </c>
      <c r="E69" s="4" t="inlineStr">
        <is>
          <t>S1+</t>
        </is>
      </c>
      <c r="F69" s="4" t="inlineStr">
        <is>
          <t>R27</t>
        </is>
      </c>
      <c r="G69" s="4" t="inlineStr"/>
      <c r="H69" s="11" t="inlineStr"/>
      <c r="I69" s="4" t="inlineStr">
        <is>
          <t>UI Positive</t>
        </is>
      </c>
      <c r="J69" s="4" t="inlineStr">
        <is>
          <t>UI</t>
        </is>
      </c>
      <c r="K69" s="4" t="inlineStr">
        <is>
          <t>Valid agent (AGENT_VALID) signed in via saved session; environment reachable; NEW application open at the beneficiaries step with every earlier step completed using valid data</t>
        </is>
      </c>
      <c r="L69" s="4" t="inlineStr">
        <is>
          <t>1. Fill a beneficiary and tick irrevocable
2. Save</t>
        </is>
      </c>
      <c r="M69" s="4" t="inlineStr">
        <is>
          <t>Generated synthetic data (utils/dataBuilder.js)</t>
        </is>
      </c>
      <c r="N69" s="4" t="inlineStr">
        <is>
          <t>A native browser confirm() dialog mentioning the irrevocable designation appears; accepting it saves the beneficiary</t>
        </is>
      </c>
      <c r="O69" s="16" t="inlineStr">
        <is>
          <t>Medium</t>
        </is>
      </c>
      <c r="P69" s="15" t="inlineStr">
        <is>
          <t>P2</t>
        </is>
      </c>
      <c r="Q69" s="4" t="inlineStr">
        <is>
          <t>P2</t>
        </is>
      </c>
      <c r="R69" s="4" t="inlineStr">
        <is>
          <t>N</t>
        </is>
      </c>
      <c r="S69" s="4" t="inlineStr">
        <is>
          <t>N</t>
        </is>
      </c>
      <c r="T69" s="4" t="inlineStr">
        <is>
          <t>N</t>
        </is>
      </c>
      <c r="U69" s="4" t="inlineStr">
        <is>
          <t>Screenshot + trace on failure</t>
        </is>
      </c>
      <c r="V69" s="13" t="inlineStr">
        <is>
          <t>Automated</t>
        </is>
      </c>
      <c r="W69" s="4" t="inlineStr">
        <is>
          <t>tests/ui/beneficiaries.spec.js</t>
        </is>
      </c>
      <c r="X69" s="4" t="inlineStr"/>
      <c r="Y69" s="4" t="inlineStr"/>
      <c r="Z69" s="4" t="inlineStr"/>
      <c r="AA69" s="4" t="inlineStr">
        <is>
          <t>@regression @beneficiary @p2</t>
        </is>
      </c>
      <c r="AB69" s="15" t="inlineStr">
        <is>
          <t>Not in smoke scope</t>
        </is>
      </c>
      <c r="AC69" s="15" t="inlineStr">
        <is>
          <t>Failed or skipped (not itemised)</t>
        </is>
      </c>
      <c r="AD69" s="15" t="inlineStr">
        <is>
          <t>Not in smoke scope</t>
        </is>
      </c>
      <c r="AE69" s="15" t="inlineStr">
        <is>
          <t>Not in smoke scope</t>
        </is>
      </c>
      <c r="AF69" s="15" t="inlineStr">
        <is>
          <t>Not in smoke scope</t>
        </is>
      </c>
      <c r="AG69" s="4" t="inlineStr"/>
    </row>
    <row r="70">
      <c r="A70" s="4" t="inlineStr">
        <is>
          <t>TC-DOC-V01</t>
        </is>
      </c>
      <c r="B70" s="4" t="inlineStr">
        <is>
          <t>Valid KYC document (PDF/JPG/PNG) uploads successfully</t>
        </is>
      </c>
      <c r="C70" s="4" t="inlineStr">
        <is>
          <t>Document Upload</t>
        </is>
      </c>
      <c r="D70" s="4" t="inlineStr">
        <is>
          <t>DOC-V01</t>
        </is>
      </c>
      <c r="E70" s="4" t="inlineStr">
        <is>
          <t>S1</t>
        </is>
      </c>
      <c r="F70" s="4" t="inlineStr">
        <is>
          <t>R30</t>
        </is>
      </c>
      <c r="G70" s="4" t="inlineStr"/>
      <c r="H70" s="11" t="inlineStr"/>
      <c r="I70" s="4" t="inlineStr">
        <is>
          <t>UI Positive</t>
        </is>
      </c>
      <c r="J70" s="4" t="inlineStr">
        <is>
          <t>UI</t>
        </is>
      </c>
      <c r="K70" s="4" t="inlineStr">
        <is>
          <t>Valid agent (AGENT_VALID) signed in via saved session; environment reachable; NEW application open at the documents step with every earlier step completed using valid data</t>
        </is>
      </c>
      <c r="L70" s="4" t="inlineStr">
        <is>
          <t>1. Upload a valid PDF
2. Upload a valid JPG
3. Upload a valid PNG</t>
        </is>
      </c>
      <c r="M70" s="4" t="inlineStr">
        <is>
          <t>In-memory files (utils/files.js)</t>
        </is>
      </c>
      <c r="N70" s="4" t="inlineStr">
        <is>
          <t>Each upload is accepted: no error is shown and an uploaded-document entry is present</t>
        </is>
      </c>
      <c r="O70" s="14" t="inlineStr">
        <is>
          <t>High</t>
        </is>
      </c>
      <c r="P70" s="15" t="inlineStr">
        <is>
          <t>P2</t>
        </is>
      </c>
      <c r="Q70" s="4" t="inlineStr">
        <is>
          <t>P1</t>
        </is>
      </c>
      <c r="R70" s="4" t="inlineStr">
        <is>
          <t>N</t>
        </is>
      </c>
      <c r="S70" s="4" t="inlineStr">
        <is>
          <t>Y</t>
        </is>
      </c>
      <c r="T70" s="4" t="inlineStr">
        <is>
          <t>N</t>
        </is>
      </c>
      <c r="U70" s="4" t="inlineStr">
        <is>
          <t>Screenshot + trace on failure</t>
        </is>
      </c>
      <c r="V70" s="13" t="inlineStr">
        <is>
          <t>Automated</t>
        </is>
      </c>
      <c r="W70" s="4" t="inlineStr">
        <is>
          <t>tests/ui/documents.spec.js</t>
        </is>
      </c>
      <c r="X70" s="4" t="inlineStr"/>
      <c r="Y70" s="4" t="inlineStr"/>
      <c r="Z70" s="4" t="inlineStr"/>
      <c r="AA70" s="4" t="inlineStr">
        <is>
          <t>@regression @document @p2 @smoke</t>
        </is>
      </c>
      <c r="AB70" s="12" t="inlineStr">
        <is>
          <t>Failed</t>
        </is>
      </c>
      <c r="AC70" s="12" t="inlineStr">
        <is>
          <t>Failed</t>
        </is>
      </c>
      <c r="AD70" s="12" t="inlineStr">
        <is>
          <t>Failed</t>
        </is>
      </c>
      <c r="AE70" s="13" t="inlineStr">
        <is>
          <t>Passed</t>
        </is>
      </c>
      <c r="AF70" s="13" t="inlineStr">
        <is>
          <t>Passed</t>
        </is>
      </c>
      <c r="AG70" s="4" t="inlineStr">
        <is>
          <t>AD-01, AD-02, AD-04, AD-09</t>
        </is>
      </c>
    </row>
    <row r="71">
      <c r="A71" s="4" t="inlineStr">
        <is>
          <t>TC-DOC-V02</t>
        </is>
      </c>
      <c r="B71" s="4" t="inlineStr">
        <is>
          <t>Unsupported file type rejected</t>
        </is>
      </c>
      <c r="C71" s="4" t="inlineStr">
        <is>
          <t>Document Upload</t>
        </is>
      </c>
      <c r="D71" s="4" t="inlineStr">
        <is>
          <t>DOC-V02</t>
        </is>
      </c>
      <c r="E71" s="4" t="inlineStr">
        <is>
          <t>S1</t>
        </is>
      </c>
      <c r="F71" s="4" t="inlineStr">
        <is>
          <t>R30</t>
        </is>
      </c>
      <c r="G71" s="4" t="inlineStr"/>
      <c r="H71" s="11" t="inlineStr"/>
      <c r="I71" s="4" t="inlineStr">
        <is>
          <t>UI Negative</t>
        </is>
      </c>
      <c r="J71" s="4" t="inlineStr">
        <is>
          <t>UI + API</t>
        </is>
      </c>
      <c r="K71" s="4" t="inlineStr">
        <is>
          <t>Valid agent (AGENT_VALID) signed in via saved session; environment reachable; NEW application open at the documents step with every earlier step completed using valid data</t>
        </is>
      </c>
      <c r="L71" s="4" t="inlineStr">
        <is>
          <t>1. Upload an .exe file
2. Upload a .txt file</t>
        </is>
      </c>
      <c r="M71" s="4" t="inlineStr">
        <is>
          <t>Generated synthetic data (utils/dataBuilder.js)</t>
        </is>
      </c>
      <c r="N71" s="4" t="inlineStr">
        <is>
          <t>Each is rejected with a file-type message and no uploaded entry is created</t>
        </is>
      </c>
      <c r="O71" s="16" t="inlineStr">
        <is>
          <t>Medium</t>
        </is>
      </c>
      <c r="P71" s="15" t="inlineStr">
        <is>
          <t>P2</t>
        </is>
      </c>
      <c r="Q71" s="4" t="inlineStr">
        <is>
          <t>P2</t>
        </is>
      </c>
      <c r="R71" s="4" t="inlineStr">
        <is>
          <t>N</t>
        </is>
      </c>
      <c r="S71" s="4" t="inlineStr">
        <is>
          <t>N</t>
        </is>
      </c>
      <c r="T71" s="4" t="inlineStr">
        <is>
          <t>N</t>
        </is>
      </c>
      <c r="U71" s="4" t="inlineStr">
        <is>
          <t>Screenshot + trace on failure</t>
        </is>
      </c>
      <c r="V71" s="13" t="inlineStr">
        <is>
          <t>Automated</t>
        </is>
      </c>
      <c r="W71" s="4" t="inlineStr">
        <is>
          <t>tests/ui/documents.spec.js</t>
        </is>
      </c>
      <c r="X71" s="4" t="inlineStr"/>
      <c r="Y71" s="4" t="inlineStr"/>
      <c r="Z71" s="4" t="inlineStr"/>
      <c r="AA71" s="4" t="inlineStr">
        <is>
          <t>@regression @document @p2 @api</t>
        </is>
      </c>
      <c r="AB71" s="15" t="inlineStr">
        <is>
          <t>Not in smoke scope</t>
        </is>
      </c>
      <c r="AC71" s="15" t="inlineStr">
        <is>
          <t>Failed or skipped (not itemised)</t>
        </is>
      </c>
      <c r="AD71" s="15" t="inlineStr">
        <is>
          <t>Not in smoke scope</t>
        </is>
      </c>
      <c r="AE71" s="15" t="inlineStr">
        <is>
          <t>Not in smoke scope</t>
        </is>
      </c>
      <c r="AF71" s="15" t="inlineStr">
        <is>
          <t>Not in smoke scope</t>
        </is>
      </c>
      <c r="AG71" s="4" t="inlineStr"/>
    </row>
    <row r="72">
      <c r="A72" s="4" t="inlineStr">
        <is>
          <t>TC-DOC-V03</t>
        </is>
      </c>
      <c r="B72" s="4" t="inlineStr">
        <is>
          <t>File above maximum size rejected</t>
        </is>
      </c>
      <c r="C72" s="4" t="inlineStr">
        <is>
          <t>Document Upload</t>
        </is>
      </c>
      <c r="D72" s="4" t="inlineStr">
        <is>
          <t>DOC-V03</t>
        </is>
      </c>
      <c r="E72" s="4" t="inlineStr">
        <is>
          <t>S1</t>
        </is>
      </c>
      <c r="F72" s="4" t="inlineStr">
        <is>
          <t>R30</t>
        </is>
      </c>
      <c r="G72" s="4" t="inlineStr"/>
      <c r="H72" s="11" t="inlineStr"/>
      <c r="I72" s="4" t="inlineStr">
        <is>
          <t>UI Boundary</t>
        </is>
      </c>
      <c r="J72" s="4" t="inlineStr">
        <is>
          <t>UI</t>
        </is>
      </c>
      <c r="K72" s="4" t="inlineStr">
        <is>
          <t>Valid agent (AGENT_VALID) signed in via saved session; environment reachable; NEW application open at the documents step with every earlier step completed using valid data</t>
        </is>
      </c>
      <c r="L72" s="4" t="inlineStr">
        <is>
          <t>1. Upload a PDF of (maximum + 1) MB</t>
        </is>
      </c>
      <c r="M72" s="4" t="inlineStr">
        <is>
          <t>MAX_UPLOAD_MB</t>
        </is>
      </c>
      <c r="N72" s="4" t="inlineStr">
        <is>
          <t>Rejected with a file-size message</t>
        </is>
      </c>
      <c r="O72" s="16" t="inlineStr">
        <is>
          <t>Medium</t>
        </is>
      </c>
      <c r="P72" s="15" t="inlineStr">
        <is>
          <t>P2</t>
        </is>
      </c>
      <c r="Q72" s="4" t="inlineStr">
        <is>
          <t>P2</t>
        </is>
      </c>
      <c r="R72" s="4" t="inlineStr">
        <is>
          <t>N</t>
        </is>
      </c>
      <c r="S72" s="4" t="inlineStr">
        <is>
          <t>N</t>
        </is>
      </c>
      <c r="T72" s="4" t="inlineStr">
        <is>
          <t>N</t>
        </is>
      </c>
      <c r="U72" s="4" t="inlineStr">
        <is>
          <t>Screenshot + trace on failure</t>
        </is>
      </c>
      <c r="V72" s="13" t="inlineStr">
        <is>
          <t>Automated</t>
        </is>
      </c>
      <c r="W72" s="4" t="inlineStr">
        <is>
          <t>tests/ui/documents.spec.js</t>
        </is>
      </c>
      <c r="X72" s="4" t="inlineStr">
        <is>
          <t>MAX_UPLOAD_MB defaults to the confirmed 5 MB</t>
        </is>
      </c>
      <c r="Y72" s="4" t="inlineStr"/>
      <c r="Z72" s="4" t="inlineStr"/>
      <c r="AA72" s="4" t="inlineStr">
        <is>
          <t>@regression @document @p2</t>
        </is>
      </c>
      <c r="AB72" s="15" t="inlineStr">
        <is>
          <t>Not in smoke scope</t>
        </is>
      </c>
      <c r="AC72" s="15" t="inlineStr">
        <is>
          <t>Failed or skipped (not itemised)</t>
        </is>
      </c>
      <c r="AD72" s="15" t="inlineStr">
        <is>
          <t>Not in smoke scope</t>
        </is>
      </c>
      <c r="AE72" s="15" t="inlineStr">
        <is>
          <t>Not in smoke scope</t>
        </is>
      </c>
      <c r="AF72" s="15" t="inlineStr">
        <is>
          <t>Not in smoke scope</t>
        </is>
      </c>
      <c r="AG72" s="4" t="inlineStr"/>
    </row>
    <row r="73">
      <c r="A73" s="4" t="inlineStr">
        <is>
          <t>TC-DOC-V04</t>
        </is>
      </c>
      <c r="B73" s="4" t="inlineStr">
        <is>
          <t>Missing mandatory document blocks submission</t>
        </is>
      </c>
      <c r="C73" s="4" t="inlineStr">
        <is>
          <t>Document Upload</t>
        </is>
      </c>
      <c r="D73" s="4" t="inlineStr">
        <is>
          <t>DOC-V04</t>
        </is>
      </c>
      <c r="E73" s="4" t="inlineStr">
        <is>
          <t>S1</t>
        </is>
      </c>
      <c r="F73" s="4" t="inlineStr">
        <is>
          <t>R29</t>
        </is>
      </c>
      <c r="G73" s="4" t="inlineStr">
        <is>
          <t>RI-06: Mandatory KYC documents not enforced</t>
        </is>
      </c>
      <c r="H73" s="11" t="inlineStr">
        <is>
          <t>SDC-06</t>
        </is>
      </c>
      <c r="I73" s="4" t="inlineStr">
        <is>
          <t>UI Negative</t>
        </is>
      </c>
      <c r="J73" s="4" t="inlineStr">
        <is>
          <t>UI + API + DB</t>
        </is>
      </c>
      <c r="K73" s="4" t="inlineStr">
        <is>
          <t>Valid agent (AGENT_VALID) signed in via saved session; environment reachable; NEW application open at the documents step with every earlier step completed using valid data</t>
        </is>
      </c>
      <c r="L73" s="4" t="inlineStr">
        <is>
          <t>1. Do NOT upload any document
2. Click Next
3. If the review step is reached, try to submit</t>
        </is>
      </c>
      <c r="M73" s="4" t="inlineStr">
        <is>
          <t>Generated synthetic data (utils/dataBuilder.js)</t>
        </is>
      </c>
      <c r="N73" s="4" t="inlineStr">
        <is>
          <t>Either Next is blocked with a document message, or the review step cannot be submitted and no reference number is issued</t>
        </is>
      </c>
      <c r="O73" s="12" t="inlineStr">
        <is>
          <t>Critical</t>
        </is>
      </c>
      <c r="P73" s="12" t="inlineStr">
        <is>
          <t>P1</t>
        </is>
      </c>
      <c r="Q73" s="4" t="inlineStr">
        <is>
          <t>P1</t>
        </is>
      </c>
      <c r="R73" s="4" t="inlineStr">
        <is>
          <t>Y</t>
        </is>
      </c>
      <c r="S73" s="4" t="inlineStr">
        <is>
          <t>N</t>
        </is>
      </c>
      <c r="T73" s="4" t="inlineStr">
        <is>
          <t>N</t>
        </is>
      </c>
      <c r="U73" s="4" t="inlineStr">
        <is>
          <t>Screenshot attached on pass AND fail; trace/video on failure; diagnostics.json (console + 5xx)</t>
        </is>
      </c>
      <c r="V73" s="13" t="inlineStr">
        <is>
          <t>Automated</t>
        </is>
      </c>
      <c r="W73" s="4" t="inlineStr">
        <is>
          <t>tests/ui/documents.spec.js</t>
        </is>
      </c>
      <c r="X73" s="4" t="inlineStr"/>
      <c r="Y73" s="4" t="inlineStr"/>
      <c r="Z73" s="4" t="inlineStr"/>
      <c r="AA73" s="4" t="inlineStr">
        <is>
          <t>@regression @document @p1 @release-gate @seeded @api</t>
        </is>
      </c>
      <c r="AB73" s="15" t="inlineStr">
        <is>
          <t>Not in smoke scope</t>
        </is>
      </c>
      <c r="AC73" s="15" t="inlineStr">
        <is>
          <t>Failed or skipped (not itemised)</t>
        </is>
      </c>
      <c r="AD73" s="15" t="inlineStr">
        <is>
          <t>Not in smoke scope</t>
        </is>
      </c>
      <c r="AE73" s="15" t="inlineStr">
        <is>
          <t>Not in smoke scope</t>
        </is>
      </c>
      <c r="AF73" s="15" t="inlineStr">
        <is>
          <t>Not in smoke scope</t>
        </is>
      </c>
      <c r="AG73" s="4" t="inlineStr"/>
    </row>
    <row r="74">
      <c r="A74" s="4" t="inlineStr">
        <is>
          <t>TC-VAL-V01</t>
        </is>
      </c>
      <c r="B74" s="4" t="inlineStr">
        <is>
          <t>Validation summary lists all unresolved errors, grouped</t>
        </is>
      </c>
      <c r="C74" s="4" t="inlineStr">
        <is>
          <t>Validation Summary</t>
        </is>
      </c>
      <c r="D74" s="4" t="inlineStr">
        <is>
          <t>VAL-V01</t>
        </is>
      </c>
      <c r="E74" s="4" t="inlineStr">
        <is>
          <t>S1</t>
        </is>
      </c>
      <c r="F74" s="4" t="inlineStr">
        <is>
          <t>R32</t>
        </is>
      </c>
      <c r="G74" s="4" t="inlineStr"/>
      <c r="H74" s="11" t="inlineStr"/>
      <c r="I74" s="4" t="inlineStr">
        <is>
          <t>UI Negative</t>
        </is>
      </c>
      <c r="J74" s="4" t="inlineStr">
        <is>
          <t>UI</t>
        </is>
      </c>
      <c r="K74" s="4" t="inlineStr">
        <is>
          <t>Valid agent (AGENT_VALID) signed in via saved session; environment reachable; review step reached with the mandatory documents missing</t>
        </is>
      </c>
      <c r="L74" s="4" t="inlineStr">
        <is>
          <t>1. Reach the review step without documents
2. Read the validation summary</t>
        </is>
      </c>
      <c r="M74" s="4" t="inlineStr">
        <is>
          <t>Generated synthetic data (utils/dataBuilder.js)</t>
        </is>
      </c>
      <c r="N74" s="4" t="inlineStr">
        <is>
          <t>The summary shows at least one item and one refers to documents</t>
        </is>
      </c>
      <c r="O74" s="14" t="inlineStr">
        <is>
          <t>High</t>
        </is>
      </c>
      <c r="P74" s="15" t="inlineStr">
        <is>
          <t>P2</t>
        </is>
      </c>
      <c r="Q74" s="4" t="inlineStr">
        <is>
          <t>P1</t>
        </is>
      </c>
      <c r="R74" s="4" t="inlineStr">
        <is>
          <t>N</t>
        </is>
      </c>
      <c r="S74" s="4" t="inlineStr">
        <is>
          <t>N</t>
        </is>
      </c>
      <c r="T74" s="4" t="inlineStr">
        <is>
          <t>N</t>
        </is>
      </c>
      <c r="U74" s="4" t="inlineStr">
        <is>
          <t>Screenshot + trace on failure</t>
        </is>
      </c>
      <c r="V74" s="13" t="inlineStr">
        <is>
          <t>Automated</t>
        </is>
      </c>
      <c r="W74" s="4" t="inlineStr">
        <is>
          <t>tests/ui/documents.spec.js</t>
        </is>
      </c>
      <c r="X74" s="4" t="inlineStr">
        <is>
          <t>Skips if the app does not allow reaching review with errors</t>
        </is>
      </c>
      <c r="Y74" s="4" t="inlineStr"/>
      <c r="Z74" s="4" t="inlineStr"/>
      <c r="AA74" s="4" t="inlineStr">
        <is>
          <t>@regression @validation @p2</t>
        </is>
      </c>
      <c r="AB74" s="15" t="inlineStr">
        <is>
          <t>Not in smoke scope</t>
        </is>
      </c>
      <c r="AC74" s="15" t="inlineStr">
        <is>
          <t>Failed or skipped (not itemised)</t>
        </is>
      </c>
      <c r="AD74" s="15" t="inlineStr">
        <is>
          <t>Not in smoke scope</t>
        </is>
      </c>
      <c r="AE74" s="15" t="inlineStr">
        <is>
          <t>Not in smoke scope</t>
        </is>
      </c>
      <c r="AF74" s="15" t="inlineStr">
        <is>
          <t>Not in smoke scope</t>
        </is>
      </c>
      <c r="AG74" s="4" t="inlineStr"/>
    </row>
    <row r="75">
      <c r="A75" s="4" t="inlineStr">
        <is>
          <t>TC-VAL-V02</t>
        </is>
      </c>
      <c r="B75" s="4" t="inlineStr">
        <is>
          <t>Clicking a summary item navigates to the field/section</t>
        </is>
      </c>
      <c r="C75" s="4" t="inlineStr">
        <is>
          <t>Validation Summary</t>
        </is>
      </c>
      <c r="D75" s="4" t="inlineStr">
        <is>
          <t>VAL-V02</t>
        </is>
      </c>
      <c r="E75" s="4" t="inlineStr">
        <is>
          <t>S1</t>
        </is>
      </c>
      <c r="F75" s="4" t="inlineStr">
        <is>
          <t>R32</t>
        </is>
      </c>
      <c r="G75" s="4" t="inlineStr"/>
      <c r="H75" s="11" t="inlineStr"/>
      <c r="I75" s="4" t="inlineStr">
        <is>
          <t>UI Positive</t>
        </is>
      </c>
      <c r="J75" s="4" t="inlineStr">
        <is>
          <t>UI</t>
        </is>
      </c>
      <c r="K75" s="4" t="inlineStr">
        <is>
          <t>Valid agent (AGENT_VALID) signed in via saved session; environment reachable; review step reached with errors</t>
        </is>
      </c>
      <c r="L75" s="4" t="inlineStr">
        <is>
          <t>1. Click the first validation summary item</t>
        </is>
      </c>
      <c r="M75" s="4" t="inlineStr">
        <is>
          <t>Generated synthetic data (utils/dataBuilder.js)</t>
        </is>
      </c>
      <c r="N75" s="4" t="inlineStr">
        <is>
          <t>The browser moves to the section that owns the error (step title or URL changes)</t>
        </is>
      </c>
      <c r="O75" s="13" t="inlineStr">
        <is>
          <t>Low</t>
        </is>
      </c>
      <c r="P75" s="15" t="inlineStr">
        <is>
          <t>P3</t>
        </is>
      </c>
      <c r="Q75" s="4" t="inlineStr">
        <is>
          <t>P3</t>
        </is>
      </c>
      <c r="R75" s="4" t="inlineStr">
        <is>
          <t>N</t>
        </is>
      </c>
      <c r="S75" s="4" t="inlineStr">
        <is>
          <t>N</t>
        </is>
      </c>
      <c r="T75" s="4" t="inlineStr">
        <is>
          <t>N</t>
        </is>
      </c>
      <c r="U75" s="4" t="inlineStr">
        <is>
          <t>Screenshot + trace on failure</t>
        </is>
      </c>
      <c r="V75" s="13" t="inlineStr">
        <is>
          <t>Automated</t>
        </is>
      </c>
      <c r="W75" s="4" t="inlineStr">
        <is>
          <t>tests/ui/documents.spec.js</t>
        </is>
      </c>
      <c r="X75" s="4" t="inlineStr">
        <is>
          <t>Skips if the app does not allow reaching review with errors</t>
        </is>
      </c>
      <c r="Y75" s="4" t="inlineStr"/>
      <c r="Z75" s="4" t="inlineStr"/>
      <c r="AA75" s="4" t="inlineStr">
        <is>
          <t>@regression @validation @p3</t>
        </is>
      </c>
      <c r="AB75" s="15" t="inlineStr">
        <is>
          <t>Not in smoke scope</t>
        </is>
      </c>
      <c r="AC75" s="15" t="inlineStr">
        <is>
          <t>Failed or skipped (not itemised)</t>
        </is>
      </c>
      <c r="AD75" s="15" t="inlineStr">
        <is>
          <t>Not in smoke scope</t>
        </is>
      </c>
      <c r="AE75" s="15" t="inlineStr">
        <is>
          <t>Not in smoke scope</t>
        </is>
      </c>
      <c r="AF75" s="15" t="inlineStr">
        <is>
          <t>Not in smoke scope</t>
        </is>
      </c>
      <c r="AG75" s="4" t="inlineStr">
        <is>
          <t>AC-01</t>
        </is>
      </c>
    </row>
    <row r="76">
      <c r="A76" s="4" t="inlineStr">
        <is>
          <t>TC-VAL-V03</t>
        </is>
      </c>
      <c r="B76" s="4" t="inlineStr">
        <is>
          <t>Submit stays disabled until critical errors are resolved</t>
        </is>
      </c>
      <c r="C76" s="4" t="inlineStr">
        <is>
          <t>Validation Summary</t>
        </is>
      </c>
      <c r="D76" s="4" t="inlineStr">
        <is>
          <t>VAL-V03</t>
        </is>
      </c>
      <c r="E76" s="4" t="inlineStr">
        <is>
          <t>S1</t>
        </is>
      </c>
      <c r="F76" s="4" t="inlineStr">
        <is>
          <t>R31</t>
        </is>
      </c>
      <c r="G76" s="4" t="inlineStr">
        <is>
          <t>RI-17: Submit enabled despite validation errors</t>
        </is>
      </c>
      <c r="H76" s="11" t="inlineStr">
        <is>
          <t>SDC-17</t>
        </is>
      </c>
      <c r="I76" s="4" t="inlineStr">
        <is>
          <t>UI Negative</t>
        </is>
      </c>
      <c r="J76" s="4" t="inlineStr">
        <is>
          <t>UI</t>
        </is>
      </c>
      <c r="K76" s="4" t="inlineStr">
        <is>
          <t>Valid agent (AGENT_VALID) signed in via saved session; environment reachable; review step reached with the mandatory documents missing</t>
        </is>
      </c>
      <c r="L76" s="4" t="inlineStr">
        <is>
          <t>1. Confirm Submit is disabled
2. Resolve the error (upload documents)
3. Return to review</t>
        </is>
      </c>
      <c r="M76" s="4" t="inlineStr">
        <is>
          <t>Generated synthetic data (utils/dataBuilder.js)</t>
        </is>
      </c>
      <c r="N76" s="4" t="inlineStr">
        <is>
          <t>Submit is disabled while errors exist and enabled once they are resolved</t>
        </is>
      </c>
      <c r="O76" s="12" t="inlineStr">
        <is>
          <t>Critical</t>
        </is>
      </c>
      <c r="P76" s="12" t="inlineStr">
        <is>
          <t>P1</t>
        </is>
      </c>
      <c r="Q76" s="4" t="inlineStr">
        <is>
          <t>P1</t>
        </is>
      </c>
      <c r="R76" s="4" t="inlineStr">
        <is>
          <t>Y</t>
        </is>
      </c>
      <c r="S76" s="4" t="inlineStr">
        <is>
          <t>N</t>
        </is>
      </c>
      <c r="T76" s="4" t="inlineStr">
        <is>
          <t>N</t>
        </is>
      </c>
      <c r="U76" s="4" t="inlineStr">
        <is>
          <t>Screenshot attached on pass AND fail; trace/video on failure; diagnostics.json (console + 5xx)</t>
        </is>
      </c>
      <c r="V76" s="13" t="inlineStr">
        <is>
          <t>Automated</t>
        </is>
      </c>
      <c r="W76" s="4" t="inlineStr">
        <is>
          <t>tests/ui/documents.spec.js</t>
        </is>
      </c>
      <c r="X76" s="4" t="inlineStr">
        <is>
          <t>Skips if the app does not allow reaching review with errors</t>
        </is>
      </c>
      <c r="Y76" s="4" t="inlineStr"/>
      <c r="Z76" s="4" t="inlineStr"/>
      <c r="AA76" s="4" t="inlineStr">
        <is>
          <t>@regression @validation @p1 @release-gate @seeded</t>
        </is>
      </c>
      <c r="AB76" s="15" t="inlineStr">
        <is>
          <t>Not in smoke scope</t>
        </is>
      </c>
      <c r="AC76" s="15" t="inlineStr">
        <is>
          <t>Failed or skipped (not itemised)</t>
        </is>
      </c>
      <c r="AD76" s="15" t="inlineStr">
        <is>
          <t>Not in smoke scope</t>
        </is>
      </c>
      <c r="AE76" s="15" t="inlineStr">
        <is>
          <t>Not in smoke scope</t>
        </is>
      </c>
      <c r="AF76" s="15" t="inlineStr">
        <is>
          <t>Not in smoke scope</t>
        </is>
      </c>
      <c r="AG76" s="4" t="inlineStr"/>
    </row>
    <row r="77">
      <c r="A77" s="4" t="inlineStr">
        <is>
          <t>TC-WF-V01</t>
        </is>
      </c>
      <c r="B77" s="4" t="inlineStr">
        <is>
          <t>Partial application saved as draft; draft row on dashboard</t>
        </is>
      </c>
      <c r="C77" s="4" t="inlineStr">
        <is>
          <t>Submission &amp; Status Tracking</t>
        </is>
      </c>
      <c r="D77" s="4" t="inlineStr">
        <is>
          <t>WF-V01</t>
        </is>
      </c>
      <c r="E77" s="4" t="inlineStr">
        <is>
          <t>S1</t>
        </is>
      </c>
      <c r="F77" s="4" t="inlineStr">
        <is>
          <t>R33</t>
        </is>
      </c>
      <c r="G77" s="4" t="inlineStr">
        <is>
          <t>RI-16: Draft data not persisted</t>
        </is>
      </c>
      <c r="H77" s="11" t="inlineStr">
        <is>
          <t>SDC-16</t>
        </is>
      </c>
      <c r="I77" s="4" t="inlineStr">
        <is>
          <t>UI Positive</t>
        </is>
      </c>
      <c r="J77" s="4" t="inlineStr">
        <is>
          <t>UI</t>
        </is>
      </c>
      <c r="K77" s="4" t="inlineStr">
        <is>
          <t>Valid agent (AGENT_VALID) signed in via saved session; environment reachable</t>
        </is>
      </c>
      <c r="L77" s="4" t="inlineStr">
        <is>
          <t>1. Start a new application
2. Complete the client step and move on
3. Save draft on the address step
4. Open the dashboard</t>
        </is>
      </c>
      <c r="M77" s="4" t="inlineStr">
        <is>
          <t>Generated synthetic data (utils/dataBuilder.js)</t>
        </is>
      </c>
      <c r="N77" s="4" t="inlineStr">
        <is>
          <t>A row with status Draft exists on the dashboard</t>
        </is>
      </c>
      <c r="O77" s="14" t="inlineStr">
        <is>
          <t>High</t>
        </is>
      </c>
      <c r="P77" s="12" t="inlineStr">
        <is>
          <t>P1</t>
        </is>
      </c>
      <c r="Q77" s="4" t="inlineStr">
        <is>
          <t>P1</t>
        </is>
      </c>
      <c r="R77" s="4" t="inlineStr">
        <is>
          <t>Y</t>
        </is>
      </c>
      <c r="S77" s="4" t="inlineStr">
        <is>
          <t>Y</t>
        </is>
      </c>
      <c r="T77" s="4" t="inlineStr">
        <is>
          <t>N</t>
        </is>
      </c>
      <c r="U77" s="4" t="inlineStr">
        <is>
          <t>Screenshot attached on pass AND fail; trace/video on failure; diagnostics.json (console + 5xx)</t>
        </is>
      </c>
      <c r="V77" s="13" t="inlineStr">
        <is>
          <t>Automated</t>
        </is>
      </c>
      <c r="W77" s="4" t="inlineStr">
        <is>
          <t>tests/e2e/workflow.spec.js</t>
        </is>
      </c>
      <c r="X77" s="4" t="inlineStr"/>
      <c r="Y77" s="4" t="inlineStr"/>
      <c r="Z77" s="4" t="inlineStr"/>
      <c r="AA77" s="4" t="inlineStr">
        <is>
          <t>@regression @workflow @p1 @smoke @release-gate @seeded</t>
        </is>
      </c>
      <c r="AB77" s="12" t="inlineStr">
        <is>
          <t>Failed</t>
        </is>
      </c>
      <c r="AC77" s="12" t="inlineStr">
        <is>
          <t>Failed</t>
        </is>
      </c>
      <c r="AD77" s="12" t="inlineStr">
        <is>
          <t>Failed</t>
        </is>
      </c>
      <c r="AE77" s="13" t="inlineStr">
        <is>
          <t>Passed</t>
        </is>
      </c>
      <c r="AF77" s="13" t="inlineStr">
        <is>
          <t>Passed</t>
        </is>
      </c>
      <c r="AG77" s="4" t="inlineStr">
        <is>
          <t>AD-01, AD-04, AD-06, AD-10</t>
        </is>
      </c>
    </row>
    <row r="78">
      <c r="A78" s="4" t="inlineStr">
        <is>
          <t>TC-WF-V02</t>
        </is>
      </c>
      <c r="B78" s="4" t="inlineStr">
        <is>
          <t>Draft resumed with previously saved data intact</t>
        </is>
      </c>
      <c r="C78" s="4" t="inlineStr">
        <is>
          <t>Submission &amp; Status Tracking</t>
        </is>
      </c>
      <c r="D78" s="4" t="inlineStr">
        <is>
          <t>WF-V02</t>
        </is>
      </c>
      <c r="E78" s="4" t="inlineStr">
        <is>
          <t>S1</t>
        </is>
      </c>
      <c r="F78" s="4" t="inlineStr">
        <is>
          <t>R09, R33</t>
        </is>
      </c>
      <c r="G78" s="4" t="inlineStr">
        <is>
          <t>RI-16: Draft data not persisted</t>
        </is>
      </c>
      <c r="H78" s="11" t="inlineStr">
        <is>
          <t>SDC-16</t>
        </is>
      </c>
      <c r="I78" s="4" t="inlineStr">
        <is>
          <t>UI Positive</t>
        </is>
      </c>
      <c r="J78" s="4" t="inlineStr">
        <is>
          <t>UI + DB</t>
        </is>
      </c>
      <c r="K78" s="4" t="inlineStr">
        <is>
          <t>Valid agent (AGENT_VALID) signed in via saved session; environment reachable</t>
        </is>
      </c>
      <c r="L78" s="4" t="inlineStr">
        <is>
          <t>1. Start a new application and fill the client step
2. Save draft
3. Go to the dashboard and resume the draft
4. Return to the client step</t>
        </is>
      </c>
      <c r="M78" s="4" t="inlineStr">
        <is>
          <t>Generated synthetic data (utils/dataBuilder.js)</t>
        </is>
      </c>
      <c r="N78" s="4" t="inlineStr">
        <is>
          <t>First name, last name and date of birth equal the saved values</t>
        </is>
      </c>
      <c r="O78" s="14" t="inlineStr">
        <is>
          <t>High</t>
        </is>
      </c>
      <c r="P78" s="15" t="inlineStr">
        <is>
          <t>P2</t>
        </is>
      </c>
      <c r="Q78" s="4" t="inlineStr">
        <is>
          <t>P1</t>
        </is>
      </c>
      <c r="R78" s="4" t="inlineStr">
        <is>
          <t>N</t>
        </is>
      </c>
      <c r="S78" s="4" t="inlineStr">
        <is>
          <t>N</t>
        </is>
      </c>
      <c r="T78" s="4" t="inlineStr">
        <is>
          <t>N</t>
        </is>
      </c>
      <c r="U78" s="4" t="inlineStr">
        <is>
          <t>Screenshot attached on pass AND fail; trace/video on failure; diagnostics.json (console + 5xx)</t>
        </is>
      </c>
      <c r="V78" s="13" t="inlineStr">
        <is>
          <t>Automated</t>
        </is>
      </c>
      <c r="W78" s="4" t="inlineStr">
        <is>
          <t>tests/e2e/workflow.spec.js</t>
        </is>
      </c>
      <c r="X78" s="4" t="inlineStr"/>
      <c r="Y78" s="4" t="inlineStr"/>
      <c r="Z78" s="4" t="inlineStr"/>
      <c r="AA78" s="4" t="inlineStr">
        <is>
          <t>@regression @workflow @p2 @seeded</t>
        </is>
      </c>
      <c r="AB78" s="15" t="inlineStr">
        <is>
          <t>Not in smoke scope</t>
        </is>
      </c>
      <c r="AC78" s="15" t="inlineStr">
        <is>
          <t>Failed or skipped (not itemised)</t>
        </is>
      </c>
      <c r="AD78" s="15" t="inlineStr">
        <is>
          <t>Not in smoke scope</t>
        </is>
      </c>
      <c r="AE78" s="15" t="inlineStr">
        <is>
          <t>Not in smoke scope</t>
        </is>
      </c>
      <c r="AF78" s="15" t="inlineStr">
        <is>
          <t>Not in smoke scope</t>
        </is>
      </c>
      <c r="AG78" s="4" t="inlineStr"/>
    </row>
    <row r="79">
      <c r="A79" s="4" t="inlineStr">
        <is>
          <t>TC-WF-V03</t>
        </is>
      </c>
      <c r="B79" s="4" t="inlineStr">
        <is>
          <t>Full E2E: valid application submitted; reference number shown</t>
        </is>
      </c>
      <c r="C79" s="4" t="inlineStr">
        <is>
          <t>Submission &amp; Status Tracking</t>
        </is>
      </c>
      <c r="D79" s="4" t="inlineStr">
        <is>
          <t>WF-V03</t>
        </is>
      </c>
      <c r="E79" s="4" t="inlineStr">
        <is>
          <t>S1</t>
        </is>
      </c>
      <c r="F79" s="4" t="inlineStr">
        <is>
          <t>R34</t>
        </is>
      </c>
      <c r="G79" s="4" t="inlineStr"/>
      <c r="H79" s="11" t="inlineStr"/>
      <c r="I79" s="4" t="inlineStr">
        <is>
          <t>E2E</t>
        </is>
      </c>
      <c r="J79" s="4" t="inlineStr">
        <is>
          <t>UI + API + DB</t>
        </is>
      </c>
      <c r="K79" s="4" t="inlineStr">
        <is>
          <t>Valid agent (AGENT_VALID) signed in via saved session; environment reachable</t>
        </is>
      </c>
      <c r="L79" s="4" t="inlineStr">
        <is>
          <t>1. Log in
2. Start a new application
3. Complete every step with valid data
4. Submit on the review step</t>
        </is>
      </c>
      <c r="M79" s="4" t="inlineStr">
        <is>
          <t>Generated synthetic data (utils/dataBuilder.js)</t>
        </is>
      </c>
      <c r="N79" s="4" t="inlineStr">
        <is>
          <t>A non-empty reference number is displayed</t>
        </is>
      </c>
      <c r="O79" s="12" t="inlineStr">
        <is>
          <t>Critical</t>
        </is>
      </c>
      <c r="P79" s="12" t="inlineStr">
        <is>
          <t>P1</t>
        </is>
      </c>
      <c r="Q79" s="4" t="inlineStr">
        <is>
          <t>P1</t>
        </is>
      </c>
      <c r="R79" s="4" t="inlineStr">
        <is>
          <t>Y</t>
        </is>
      </c>
      <c r="S79" s="4" t="inlineStr">
        <is>
          <t>Y</t>
        </is>
      </c>
      <c r="T79" s="4" t="inlineStr">
        <is>
          <t>N</t>
        </is>
      </c>
      <c r="U79" s="4" t="inlineStr">
        <is>
          <t>Screenshot (review + confirmation) attached on pass and fail</t>
        </is>
      </c>
      <c r="V79" s="13" t="inlineStr">
        <is>
          <t>Automated</t>
        </is>
      </c>
      <c r="W79" s="4" t="inlineStr">
        <is>
          <t>tests/e2e/workflow.spec.js</t>
        </is>
      </c>
      <c r="X79" s="4" t="inlineStr"/>
      <c r="Y79" s="4" t="inlineStr"/>
      <c r="Z79" s="4" t="inlineStr"/>
      <c r="AA79" s="4" t="inlineStr">
        <is>
          <t>@regression @workflow @p1 @smoke @release-gate @e2e @api</t>
        </is>
      </c>
      <c r="AB79" s="12" t="inlineStr">
        <is>
          <t>Failed</t>
        </is>
      </c>
      <c r="AC79" s="12" t="inlineStr">
        <is>
          <t>Failed</t>
        </is>
      </c>
      <c r="AD79" s="12" t="inlineStr">
        <is>
          <t>Failed</t>
        </is>
      </c>
      <c r="AE79" s="13" t="inlineStr">
        <is>
          <t>Passed</t>
        </is>
      </c>
      <c r="AF79" s="13" t="inlineStr">
        <is>
          <t>Passed</t>
        </is>
      </c>
      <c r="AG79" s="4" t="inlineStr">
        <is>
          <t>AD-01, AD-02, AD-05, AD-06, AD-09</t>
        </is>
      </c>
    </row>
    <row r="80">
      <c r="A80" s="4" t="inlineStr">
        <is>
          <t>TC-WF-V04</t>
        </is>
      </c>
      <c r="B80" s="4" t="inlineStr">
        <is>
          <t>Submitted application is read-only</t>
        </is>
      </c>
      <c r="C80" s="4" t="inlineStr">
        <is>
          <t>Submission &amp; Status Tracking</t>
        </is>
      </c>
      <c r="D80" s="4" t="inlineStr">
        <is>
          <t>WF-V04</t>
        </is>
      </c>
      <c r="E80" s="4" t="inlineStr">
        <is>
          <t>S1</t>
        </is>
      </c>
      <c r="F80" s="4" t="inlineStr">
        <is>
          <t>R36</t>
        </is>
      </c>
      <c r="G80" s="4" t="inlineStr"/>
      <c r="H80" s="11" t="inlineStr"/>
      <c r="I80" s="4" t="inlineStr">
        <is>
          <t>UI Positive</t>
        </is>
      </c>
      <c r="J80" s="4" t="inlineStr">
        <is>
          <t>UI</t>
        </is>
      </c>
      <c r="K80" s="4" t="inlineStr">
        <is>
          <t>Valid agent (AGENT_VALID) signed in via saved session; environment reachable</t>
        </is>
      </c>
      <c r="L80" s="4" t="inlineStr">
        <is>
          <t>1. Complete and submit an application
2. Inspect the page for editable controls</t>
        </is>
      </c>
      <c r="M80" s="4" t="inlineStr">
        <is>
          <t>Generated synthetic data (utils/dataBuilder.js)</t>
        </is>
      </c>
      <c r="N80" s="4" t="inlineStr">
        <is>
          <t>No editable input remains and the submit control is gone or disabled</t>
        </is>
      </c>
      <c r="O80" s="16" t="inlineStr">
        <is>
          <t>Medium</t>
        </is>
      </c>
      <c r="P80" s="15" t="inlineStr">
        <is>
          <t>P2</t>
        </is>
      </c>
      <c r="Q80" s="4" t="inlineStr">
        <is>
          <t>P2</t>
        </is>
      </c>
      <c r="R80" s="4" t="inlineStr">
        <is>
          <t>N</t>
        </is>
      </c>
      <c r="S80" s="4" t="inlineStr">
        <is>
          <t>N</t>
        </is>
      </c>
      <c r="T80" s="4" t="inlineStr">
        <is>
          <t>N</t>
        </is>
      </c>
      <c r="U80" s="4" t="inlineStr">
        <is>
          <t>Screenshot + trace on failure</t>
        </is>
      </c>
      <c r="V80" s="13" t="inlineStr">
        <is>
          <t>Automated</t>
        </is>
      </c>
      <c r="W80" s="4" t="inlineStr">
        <is>
          <t>tests/e2e/workflow.spec.js</t>
        </is>
      </c>
      <c r="X80" s="4" t="inlineStr"/>
      <c r="Y80" s="4" t="inlineStr"/>
      <c r="Z80" s="4" t="inlineStr"/>
      <c r="AA80" s="4" t="inlineStr">
        <is>
          <t>@regression @workflow @p2</t>
        </is>
      </c>
      <c r="AB80" s="15" t="inlineStr">
        <is>
          <t>Not in smoke scope</t>
        </is>
      </c>
      <c r="AC80" s="15" t="inlineStr">
        <is>
          <t>Failed or skipped (not itemised)</t>
        </is>
      </c>
      <c r="AD80" s="15" t="inlineStr">
        <is>
          <t>Not in smoke scope</t>
        </is>
      </c>
      <c r="AE80" s="15" t="inlineStr">
        <is>
          <t>Not in smoke scope</t>
        </is>
      </c>
      <c r="AF80" s="15" t="inlineStr">
        <is>
          <t>Not in smoke scope</t>
        </is>
      </c>
      <c r="AG80" s="4" t="inlineStr"/>
    </row>
    <row r="81">
      <c r="A81" s="4" t="inlineStr">
        <is>
          <t>TC-WF-V05</t>
        </is>
      </c>
      <c r="B81" s="4" t="inlineStr">
        <is>
          <t>Confirmation / status message shown after submission</t>
        </is>
      </c>
      <c r="C81" s="4" t="inlineStr">
        <is>
          <t>Submission &amp; Status Tracking</t>
        </is>
      </c>
      <c r="D81" s="4" t="inlineStr">
        <is>
          <t>WF-V05</t>
        </is>
      </c>
      <c r="E81" s="4" t="inlineStr">
        <is>
          <t>S1</t>
        </is>
      </c>
      <c r="F81" s="4" t="inlineStr">
        <is>
          <t>R34</t>
        </is>
      </c>
      <c r="G81" s="4" t="inlineStr"/>
      <c r="H81" s="11" t="inlineStr"/>
      <c r="I81" s="4" t="inlineStr">
        <is>
          <t>UI Positive</t>
        </is>
      </c>
      <c r="J81" s="4" t="inlineStr">
        <is>
          <t>UI</t>
        </is>
      </c>
      <c r="K81" s="4" t="inlineStr">
        <is>
          <t>Valid agent (AGENT_VALID) signed in via saved session; environment reachable</t>
        </is>
      </c>
      <c r="L81" s="4" t="inlineStr">
        <is>
          <t>1. Complete and submit an application</t>
        </is>
      </c>
      <c r="M81" s="4" t="inlineStr">
        <is>
          <t>Generated synthetic data (utils/dataBuilder.js)</t>
        </is>
      </c>
      <c r="N81" s="4" t="inlineStr">
        <is>
          <t>A confirmation message matching the submitted pattern is displayed</t>
        </is>
      </c>
      <c r="O81" s="13" t="inlineStr">
        <is>
          <t>Low</t>
        </is>
      </c>
      <c r="P81" s="15" t="inlineStr">
        <is>
          <t>P3</t>
        </is>
      </c>
      <c r="Q81" s="4" t="inlineStr">
        <is>
          <t>P3</t>
        </is>
      </c>
      <c r="R81" s="4" t="inlineStr">
        <is>
          <t>N</t>
        </is>
      </c>
      <c r="S81" s="4" t="inlineStr">
        <is>
          <t>N</t>
        </is>
      </c>
      <c r="T81" s="4" t="inlineStr">
        <is>
          <t>N</t>
        </is>
      </c>
      <c r="U81" s="4" t="inlineStr">
        <is>
          <t>Screenshot + trace on failure</t>
        </is>
      </c>
      <c r="V81" s="13" t="inlineStr">
        <is>
          <t>Automated</t>
        </is>
      </c>
      <c r="W81" s="4" t="inlineStr">
        <is>
          <t>tests/e2e/workflow.spec.js</t>
        </is>
      </c>
      <c r="X81" s="4" t="inlineStr"/>
      <c r="Y81" s="4" t="inlineStr"/>
      <c r="Z81" s="4" t="inlineStr"/>
      <c r="AA81" s="4" t="inlineStr">
        <is>
          <t>@regression @workflow @p3</t>
        </is>
      </c>
      <c r="AB81" s="15" t="inlineStr">
        <is>
          <t>Not in smoke scope</t>
        </is>
      </c>
      <c r="AC81" s="15" t="inlineStr">
        <is>
          <t>Failed or skipped (not itemised)</t>
        </is>
      </c>
      <c r="AD81" s="15" t="inlineStr">
        <is>
          <t>Not in smoke scope</t>
        </is>
      </c>
      <c r="AE81" s="15" t="inlineStr">
        <is>
          <t>Not in smoke scope</t>
        </is>
      </c>
      <c r="AF81" s="15" t="inlineStr">
        <is>
          <t>Not in smoke scope</t>
        </is>
      </c>
      <c r="AG81" s="4" t="inlineStr"/>
    </row>
    <row r="82">
      <c r="A82" s="4" t="inlineStr">
        <is>
          <t>TC-WF-V06</t>
        </is>
      </c>
      <c r="B82" s="4" t="inlineStr">
        <is>
          <t>Dashboard status becomes Submitted after submission</t>
        </is>
      </c>
      <c r="C82" s="4" t="inlineStr">
        <is>
          <t>Submission &amp; Status Tracking</t>
        </is>
      </c>
      <c r="D82" s="4" t="inlineStr">
        <is>
          <t>WF-V06</t>
        </is>
      </c>
      <c r="E82" s="4" t="inlineStr">
        <is>
          <t>S1</t>
        </is>
      </c>
      <c r="F82" s="4" t="inlineStr">
        <is>
          <t>R07, R34</t>
        </is>
      </c>
      <c r="G82" s="4" t="inlineStr">
        <is>
          <t>RI-18: Dashboard status differs from backend status</t>
        </is>
      </c>
      <c r="H82" s="11" t="inlineStr">
        <is>
          <t>SDC-18</t>
        </is>
      </c>
      <c r="I82" s="4" t="inlineStr">
        <is>
          <t>E2E</t>
        </is>
      </c>
      <c r="J82" s="4" t="inlineStr">
        <is>
          <t>UI + API + DB</t>
        </is>
      </c>
      <c r="K82" s="4" t="inlineStr">
        <is>
          <t>Valid agent (AGENT_VALID) signed in via saved session; environment reachable</t>
        </is>
      </c>
      <c r="L82" s="4" t="inlineStr">
        <is>
          <t>1. Complete and submit an application
2. Open the dashboard
3. Find the application row</t>
        </is>
      </c>
      <c r="M82" s="4" t="inlineStr">
        <is>
          <t>Generated synthetic data (utils/dataBuilder.js)</t>
        </is>
      </c>
      <c r="N82" s="4" t="inlineStr">
        <is>
          <t>The application row shows status Submitted</t>
        </is>
      </c>
      <c r="O82" s="14" t="inlineStr">
        <is>
          <t>High</t>
        </is>
      </c>
      <c r="P82" s="12" t="inlineStr">
        <is>
          <t>P1</t>
        </is>
      </c>
      <c r="Q82" s="4" t="inlineStr">
        <is>
          <t>P1</t>
        </is>
      </c>
      <c r="R82" s="4" t="inlineStr">
        <is>
          <t>Y</t>
        </is>
      </c>
      <c r="S82" s="4" t="inlineStr">
        <is>
          <t>N</t>
        </is>
      </c>
      <c r="T82" s="4" t="inlineStr">
        <is>
          <t>N</t>
        </is>
      </c>
      <c r="U82" s="4" t="inlineStr">
        <is>
          <t>Screenshot attached on pass AND fail; trace/video on failure; diagnostics.json (console + 5xx)</t>
        </is>
      </c>
      <c r="V82" s="13" t="inlineStr">
        <is>
          <t>Automated</t>
        </is>
      </c>
      <c r="W82" s="4" t="inlineStr">
        <is>
          <t>tests/e2e/workflow.spec.js</t>
        </is>
      </c>
      <c r="X82" s="4" t="inlineStr"/>
      <c r="Y82" s="4" t="inlineStr"/>
      <c r="Z82" s="4" t="inlineStr"/>
      <c r="AA82" s="4" t="inlineStr">
        <is>
          <t>@regression @workflow @p1 @release-gate @seeded @e2e @api</t>
        </is>
      </c>
      <c r="AB82" s="15" t="inlineStr">
        <is>
          <t>Not in smoke scope</t>
        </is>
      </c>
      <c r="AC82" s="15" t="inlineStr">
        <is>
          <t>Failed or skipped (not itemised)</t>
        </is>
      </c>
      <c r="AD82" s="15" t="inlineStr">
        <is>
          <t>Not in smoke scope</t>
        </is>
      </c>
      <c r="AE82" s="15" t="inlineStr">
        <is>
          <t>Not in smoke scope</t>
        </is>
      </c>
      <c r="AF82" s="15" t="inlineStr">
        <is>
          <t>Not in smoke scope</t>
        </is>
      </c>
      <c r="AG82" s="4" t="inlineStr"/>
    </row>
    <row r="83">
      <c r="A83" s="4" t="inlineStr">
        <is>
          <t>TC-WF-V07</t>
        </is>
      </c>
      <c r="B83" s="4" t="inlineStr">
        <is>
          <t>Application detail status matches Status API</t>
        </is>
      </c>
      <c r="C83" s="4" t="inlineStr">
        <is>
          <t>Submission &amp; Status Tracking</t>
        </is>
      </c>
      <c r="D83" s="4" t="inlineStr">
        <is>
          <t>WF-V07</t>
        </is>
      </c>
      <c r="E83" s="4" t="inlineStr">
        <is>
          <t>S1</t>
        </is>
      </c>
      <c r="F83" s="4" t="inlineStr">
        <is>
          <t>R07, R34</t>
        </is>
      </c>
      <c r="G83" s="4" t="inlineStr">
        <is>
          <t>RI-18: Dashboard status differs from backend status</t>
        </is>
      </c>
      <c r="H83" s="11" t="inlineStr">
        <is>
          <t>SDC-18</t>
        </is>
      </c>
      <c r="I83" s="4" t="inlineStr">
        <is>
          <t>UI-API Integration</t>
        </is>
      </c>
      <c r="J83" s="4" t="inlineStr">
        <is>
          <t>UI + API + DB</t>
        </is>
      </c>
      <c r="K83" s="4" t="inlineStr">
        <is>
          <t>Valid agent (AGENT_VALID) signed in via saved session; environment reachable</t>
        </is>
      </c>
      <c r="L83" s="4" t="inlineStr">
        <is>
          <t>1. Submit an application and read the status on the page
2. Call GET /applications/{id}/status</t>
        </is>
      </c>
      <c r="M83" s="4" t="inlineStr">
        <is>
          <t>Generated synthetic data (utils/dataBuilder.js)</t>
        </is>
      </c>
      <c r="N83" s="4" t="inlineStr">
        <is>
          <t>UI status text equals the API status</t>
        </is>
      </c>
      <c r="O83" s="14" t="inlineStr">
        <is>
          <t>High</t>
        </is>
      </c>
      <c r="P83" s="15" t="inlineStr">
        <is>
          <t>P2</t>
        </is>
      </c>
      <c r="Q83" s="4" t="inlineStr">
        <is>
          <t>P1</t>
        </is>
      </c>
      <c r="R83" s="4" t="inlineStr">
        <is>
          <t>N</t>
        </is>
      </c>
      <c r="S83" s="4" t="inlineStr">
        <is>
          <t>N</t>
        </is>
      </c>
      <c r="T83" s="4" t="inlineStr">
        <is>
          <t>N</t>
        </is>
      </c>
      <c r="U83" s="4" t="inlineStr">
        <is>
          <t>Screenshot + API response attached</t>
        </is>
      </c>
      <c r="V83" s="13" t="inlineStr">
        <is>
          <t>Automated</t>
        </is>
      </c>
      <c r="W83" s="4" t="inlineStr">
        <is>
          <t>tests/integration/ui-api.spec.js</t>
        </is>
      </c>
      <c r="X83" s="4" t="inlineStr">
        <is>
          <t>Skips if the application id cannot be read from the URL</t>
        </is>
      </c>
      <c r="Y83" s="4" t="inlineStr"/>
      <c r="Z83" s="4" t="inlineStr"/>
      <c r="AA83" s="4" t="inlineStr">
        <is>
          <t>@regression @workflow @p2 @seeded @api</t>
        </is>
      </c>
      <c r="AB83" s="15" t="inlineStr">
        <is>
          <t>Not in smoke scope</t>
        </is>
      </c>
      <c r="AC83" s="15" t="inlineStr">
        <is>
          <t>Failed or skipped (not itemised)</t>
        </is>
      </c>
      <c r="AD83" s="15" t="inlineStr">
        <is>
          <t>Not in smoke scope</t>
        </is>
      </c>
      <c r="AE83" s="15" t="inlineStr">
        <is>
          <t>Not in smoke scope</t>
        </is>
      </c>
      <c r="AF83" s="15" t="inlineStr">
        <is>
          <t>Not in smoke scope</t>
        </is>
      </c>
      <c r="AG83" s="4" t="inlineStr"/>
    </row>
    <row r="84">
      <c r="A84" s="4" t="inlineStr">
        <is>
          <t>TC-WF-V08</t>
        </is>
      </c>
      <c r="B84" s="4" t="inlineStr">
        <is>
          <t>Review page reflects the entered client, product and premium (beneficiary persists on its step)</t>
        </is>
      </c>
      <c r="C84" s="4" t="inlineStr">
        <is>
          <t>Submission &amp; Status Tracking</t>
        </is>
      </c>
      <c r="D84" s="4" t="inlineStr">
        <is>
          <t>WF-V08</t>
        </is>
      </c>
      <c r="E84" s="4" t="inlineStr">
        <is>
          <t>S2+</t>
        </is>
      </c>
      <c r="F84" s="4" t="inlineStr">
        <is>
          <t>R19</t>
        </is>
      </c>
      <c r="G84" s="4" t="inlineStr"/>
      <c r="H84" s="11" t="inlineStr"/>
      <c r="I84" s="4" t="inlineStr">
        <is>
          <t>UI Consistency</t>
        </is>
      </c>
      <c r="J84" s="4" t="inlineStr">
        <is>
          <t>UI</t>
        </is>
      </c>
      <c r="K84" s="4" t="inlineStr">
        <is>
          <t>Valid agent (AGENT_VALID) signed in via saved session; environment reachable</t>
        </is>
      </c>
      <c r="L84" s="4" t="inlineStr">
        <is>
          <t>1. Complete every step with valid data
2. Open the review step
3. Read the review text</t>
        </is>
      </c>
      <c r="M84" s="4" t="inlineStr">
        <is>
          <t>Generated synthetic data (utils/dataBuilder.js)</t>
        </is>
      </c>
      <c r="N84" s="4" t="inlineStr">
        <is>
          <t>Review shows the client name, product, sum assured and a premium equal to the configured premium; the beneficiary row is still present on the beneficiary step (the review snapshot has no beneficiary section - CL-03)</t>
        </is>
      </c>
      <c r="O84" s="14" t="inlineStr">
        <is>
          <t>High</t>
        </is>
      </c>
      <c r="P84" s="15" t="inlineStr">
        <is>
          <t>P2</t>
        </is>
      </c>
      <c r="Q84" s="4" t="inlineStr">
        <is>
          <t>P1</t>
        </is>
      </c>
      <c r="R84" s="4" t="inlineStr">
        <is>
          <t>N</t>
        </is>
      </c>
      <c r="S84" s="4" t="inlineStr">
        <is>
          <t>Y</t>
        </is>
      </c>
      <c r="T84" s="4" t="inlineStr">
        <is>
          <t>N</t>
        </is>
      </c>
      <c r="U84" s="4" t="inlineStr">
        <is>
          <t>Screenshot of review attached on pass and fail</t>
        </is>
      </c>
      <c r="V84" s="13" t="inlineStr">
        <is>
          <t>Automated</t>
        </is>
      </c>
      <c r="W84" s="4" t="inlineStr">
        <is>
          <t>tests/e2e/workflow.spec.js</t>
        </is>
      </c>
      <c r="X84" s="4" t="inlineStr"/>
      <c r="Y84" s="4" t="inlineStr"/>
      <c r="Z84" s="4" t="inlineStr"/>
      <c r="AA84" s="4" t="inlineStr">
        <is>
          <t>@regression @workflow @p2 @smoke</t>
        </is>
      </c>
      <c r="AB84" s="12" t="inlineStr">
        <is>
          <t>Failed</t>
        </is>
      </c>
      <c r="AC84" s="12" t="inlineStr">
        <is>
          <t>Failed</t>
        </is>
      </c>
      <c r="AD84" s="12" t="inlineStr">
        <is>
          <t>Failed</t>
        </is>
      </c>
      <c r="AE84" s="12" t="inlineStr">
        <is>
          <t>Failed</t>
        </is>
      </c>
      <c r="AF84" s="13" t="inlineStr">
        <is>
          <t>Passed</t>
        </is>
      </c>
      <c r="AG84" s="4" t="inlineStr">
        <is>
          <t>AD-01, AD-02, AD-09, AD-12, AC-04, CL-03</t>
        </is>
      </c>
    </row>
    <row r="85">
      <c r="A85" s="4" t="inlineStr">
        <is>
          <t>TC-API-V01</t>
        </is>
      </c>
      <c r="B85" s="4" t="inlineStr">
        <is>
          <t>Products API returns 200 and expected schema</t>
        </is>
      </c>
      <c r="C85" s="4" t="inlineStr">
        <is>
          <t>API Validation</t>
        </is>
      </c>
      <c r="D85" s="4" t="inlineStr">
        <is>
          <t>API-V01</t>
        </is>
      </c>
      <c r="E85" s="4" t="inlineStr">
        <is>
          <t>S1</t>
        </is>
      </c>
      <c r="F85" s="4" t="inlineStr">
        <is>
          <t>R37</t>
        </is>
      </c>
      <c r="G85" s="4" t="inlineStr"/>
      <c r="H85" s="11" t="inlineStr"/>
      <c r="I85" s="4" t="inlineStr">
        <is>
          <t>API</t>
        </is>
      </c>
      <c r="J85" s="4" t="inlineStr">
        <is>
          <t>API</t>
        </is>
      </c>
      <c r="K85" s="4" t="inlineStr">
        <is>
          <t>Valid agent authenticated through POST /auth/login</t>
        </is>
      </c>
      <c r="L85" s="4" t="inlineStr">
        <is>
          <t>1. GET /products</t>
        </is>
      </c>
      <c r="M85" s="4" t="inlineStr">
        <is>
          <t>Generated synthetic data (utils/dataBuilder.js)</t>
        </is>
      </c>
      <c r="N85" s="4" t="inlineStr">
        <is>
          <t>200, JSON, non-empty list; each product has an id and a name</t>
        </is>
      </c>
      <c r="O85" s="14" t="inlineStr">
        <is>
          <t>High</t>
        </is>
      </c>
      <c r="P85" s="15" t="inlineStr">
        <is>
          <t>P2</t>
        </is>
      </c>
      <c r="Q85" s="4" t="inlineStr">
        <is>
          <t>P1</t>
        </is>
      </c>
      <c r="R85" s="4" t="inlineStr">
        <is>
          <t>N</t>
        </is>
      </c>
      <c r="S85" s="4" t="inlineStr">
        <is>
          <t>Y</t>
        </is>
      </c>
      <c r="T85" s="4" t="inlineStr">
        <is>
          <t>N</t>
        </is>
      </c>
      <c r="U85" s="4" t="inlineStr">
        <is>
          <t>Response status/body attached</t>
        </is>
      </c>
      <c r="V85" s="13" t="inlineStr">
        <is>
          <t>Automated</t>
        </is>
      </c>
      <c r="W85" s="4" t="inlineStr">
        <is>
          <t>tests/api/applications.api.spec.js</t>
        </is>
      </c>
      <c r="X85" s="4" t="inlineStr"/>
      <c r="Y85" s="4" t="inlineStr"/>
      <c r="Z85" s="4" t="inlineStr"/>
      <c r="AA85" s="4" t="inlineStr">
        <is>
          <t>@regression @api @p2 @smoke</t>
        </is>
      </c>
      <c r="AB85" s="12" t="inlineStr">
        <is>
          <t>Failed</t>
        </is>
      </c>
      <c r="AC85" s="12" t="inlineStr">
        <is>
          <t>Failed</t>
        </is>
      </c>
      <c r="AD85" s="12" t="inlineStr">
        <is>
          <t>Failed</t>
        </is>
      </c>
      <c r="AE85" s="16" t="inlineStr">
        <is>
          <t>Skipped (environment)</t>
        </is>
      </c>
      <c r="AF85" s="16" t="inlineStr">
        <is>
          <t>Skipped (environment)</t>
        </is>
      </c>
      <c r="AG85" s="4" t="inlineStr">
        <is>
          <t>AD-03, AD-11</t>
        </is>
      </c>
    </row>
    <row r="86">
      <c r="A86" s="4" t="inlineStr">
        <is>
          <t>TC-API-V02</t>
        </is>
      </c>
      <c r="B86" s="4" t="inlineStr">
        <is>
          <t>Applications API requires authorization (401/403)</t>
        </is>
      </c>
      <c r="C86" s="4" t="inlineStr">
        <is>
          <t>API Validation</t>
        </is>
      </c>
      <c r="D86" s="4" t="inlineStr">
        <is>
          <t>API-V02</t>
        </is>
      </c>
      <c r="E86" s="4" t="inlineStr">
        <is>
          <t>S1</t>
        </is>
      </c>
      <c r="F86" s="4" t="inlineStr">
        <is>
          <t>R04</t>
        </is>
      </c>
      <c r="G86" s="4" t="inlineStr"/>
      <c r="H86" s="11" t="inlineStr"/>
      <c r="I86" s="4" t="inlineStr">
        <is>
          <t>API Security</t>
        </is>
      </c>
      <c r="J86" s="4" t="inlineStr">
        <is>
          <t>API</t>
        </is>
      </c>
      <c r="K86" s="4" t="inlineStr">
        <is>
          <t>No token / no session</t>
        </is>
      </c>
      <c r="L86" s="4" t="inlineStr">
        <is>
          <t>1. GET /applications without credentials</t>
        </is>
      </c>
      <c r="M86" s="4" t="inlineStr">
        <is>
          <t>none</t>
        </is>
      </c>
      <c r="N86" s="4" t="inlineStr">
        <is>
          <t>401 or 403; no application data in the body</t>
        </is>
      </c>
      <c r="O86" s="12" t="inlineStr">
        <is>
          <t>Critical</t>
        </is>
      </c>
      <c r="P86" s="12" t="inlineStr">
        <is>
          <t>P1</t>
        </is>
      </c>
      <c r="Q86" s="4" t="inlineStr">
        <is>
          <t>P1</t>
        </is>
      </c>
      <c r="R86" s="4" t="inlineStr">
        <is>
          <t>Y</t>
        </is>
      </c>
      <c r="S86" s="4" t="inlineStr">
        <is>
          <t>Y</t>
        </is>
      </c>
      <c r="T86" s="4" t="inlineStr">
        <is>
          <t>N</t>
        </is>
      </c>
      <c r="U86" s="4" t="inlineStr">
        <is>
          <t>Response status/body attached</t>
        </is>
      </c>
      <c r="V86" s="13" t="inlineStr">
        <is>
          <t>Automated</t>
        </is>
      </c>
      <c r="W86" s="4" t="inlineStr">
        <is>
          <t>tests/api/applications.api.spec.js</t>
        </is>
      </c>
      <c r="X86" s="4" t="inlineStr"/>
      <c r="Y86" s="4" t="inlineStr"/>
      <c r="Z86" s="4" t="inlineStr"/>
      <c r="AA86" s="4" t="inlineStr">
        <is>
          <t>@regression @api @p1 @smoke @release-gate</t>
        </is>
      </c>
      <c r="AB86" s="12" t="inlineStr">
        <is>
          <t>Failed</t>
        </is>
      </c>
      <c r="AC86" s="12" t="inlineStr">
        <is>
          <t>Failed</t>
        </is>
      </c>
      <c r="AD86" s="12" t="inlineStr">
        <is>
          <t>Failed</t>
        </is>
      </c>
      <c r="AE86" s="16" t="inlineStr">
        <is>
          <t>Skipped (environment)</t>
        </is>
      </c>
      <c r="AF86" s="16" t="inlineStr">
        <is>
          <t>Skipped (environment)</t>
        </is>
      </c>
      <c r="AG86" s="4" t="inlineStr">
        <is>
          <t>AD-03, AD-11, AC-03</t>
        </is>
      </c>
    </row>
    <row r="87">
      <c r="A87" s="4" t="inlineStr">
        <is>
          <t>TC-API-V03</t>
        </is>
      </c>
      <c r="B87" s="4" t="inlineStr">
        <is>
          <t>Client API rejects future / underage DOB</t>
        </is>
      </c>
      <c r="C87" s="4" t="inlineStr">
        <is>
          <t>API Validation</t>
        </is>
      </c>
      <c r="D87" s="4" t="inlineStr">
        <is>
          <t>API-V03</t>
        </is>
      </c>
      <c r="E87" s="4" t="inlineStr">
        <is>
          <t>S1</t>
        </is>
      </c>
      <c r="F87" s="4" t="inlineStr">
        <is>
          <t>R11</t>
        </is>
      </c>
      <c r="G87" s="4" t="inlineStr">
        <is>
          <t>RI-05: Future date of birth accepted
RI-19: API validation differs from UI validation</t>
        </is>
      </c>
      <c r="H87" s="11" t="inlineStr">
        <is>
          <t>SDC-05, SDC-19</t>
        </is>
      </c>
      <c r="I87" s="4" t="inlineStr">
        <is>
          <t>API Negative</t>
        </is>
      </c>
      <c r="J87" s="4" t="inlineStr">
        <is>
          <t>API</t>
        </is>
      </c>
      <c r="K87" s="4" t="inlineStr">
        <is>
          <t>Authenticated agent; a DISPOSABLE draft application id (created via API or taken from the first draft)</t>
        </is>
      </c>
      <c r="L87" s="4" t="inlineStr">
        <is>
          <t>1. POST /applications/{id}/client with DOB tomorrow
2. POST with DOB of an age-17 person</t>
        </is>
      </c>
      <c r="M87" s="4" t="inlineStr">
        <is>
          <t>Generated synthetic data (utils/dataBuilder.js)</t>
        </is>
      </c>
      <c r="N87" s="4" t="inlineStr">
        <is>
          <t>Both are rejected with a 4xx validation response</t>
        </is>
      </c>
      <c r="O87" s="14" t="inlineStr">
        <is>
          <t>High</t>
        </is>
      </c>
      <c r="P87" s="15" t="inlineStr">
        <is>
          <t>P2</t>
        </is>
      </c>
      <c r="Q87" s="4" t="inlineStr">
        <is>
          <t>P1</t>
        </is>
      </c>
      <c r="R87" s="4" t="inlineStr">
        <is>
          <t>N</t>
        </is>
      </c>
      <c r="S87" s="4" t="inlineStr">
        <is>
          <t>N</t>
        </is>
      </c>
      <c r="T87" s="4" t="inlineStr">
        <is>
          <t>N</t>
        </is>
      </c>
      <c r="U87" s="4" t="inlineStr">
        <is>
          <t>Response status/body attached</t>
        </is>
      </c>
      <c r="V87" s="13" t="inlineStr">
        <is>
          <t>Automated</t>
        </is>
      </c>
      <c r="W87" s="4" t="inlineStr">
        <is>
          <t>tests/api/applications.api.spec.js</t>
        </is>
      </c>
      <c r="X87" s="4" t="inlineStr">
        <is>
          <t>Needs a draft application id (Q21)</t>
        </is>
      </c>
      <c r="Y87" s="4" t="inlineStr">
        <is>
          <t>Q21</t>
        </is>
      </c>
      <c r="Z87" s="4" t="inlineStr"/>
      <c r="AA87" s="4" t="inlineStr">
        <is>
          <t>@regression @api @p2 @seeded</t>
        </is>
      </c>
      <c r="AB87" s="15" t="inlineStr">
        <is>
          <t>Not in smoke scope</t>
        </is>
      </c>
      <c r="AC87" s="15" t="inlineStr">
        <is>
          <t>Failed or skipped (not itemised)</t>
        </is>
      </c>
      <c r="AD87" s="15" t="inlineStr">
        <is>
          <t>Not in smoke scope</t>
        </is>
      </c>
      <c r="AE87" s="15" t="inlineStr">
        <is>
          <t>Not in smoke scope</t>
        </is>
      </c>
      <c r="AF87" s="15" t="inlineStr">
        <is>
          <t>Not in smoke scope</t>
        </is>
      </c>
      <c r="AG87" s="4" t="inlineStr">
        <is>
          <t>AD-03, AD-11</t>
        </is>
      </c>
    </row>
    <row r="88">
      <c r="A88" s="4" t="inlineStr">
        <is>
          <t>TC-API-V04</t>
        </is>
      </c>
      <c r="B88" s="4" t="inlineStr">
        <is>
          <t>Validate API returns beneficiary allocation error</t>
        </is>
      </c>
      <c r="C88" s="4" t="inlineStr">
        <is>
          <t>API Validation</t>
        </is>
      </c>
      <c r="D88" s="4" t="inlineStr">
        <is>
          <t>API-V04</t>
        </is>
      </c>
      <c r="E88" s="4" t="inlineStr">
        <is>
          <t>S1</t>
        </is>
      </c>
      <c r="F88" s="4" t="inlineStr">
        <is>
          <t>R24</t>
        </is>
      </c>
      <c r="G88" s="4" t="inlineStr">
        <is>
          <t>RI-13: Allocation below / above 100% allowed
RI-19: API validation differs from UI validation</t>
        </is>
      </c>
      <c r="H88" s="11" t="inlineStr">
        <is>
          <t>SDC-13, SDC-19</t>
        </is>
      </c>
      <c r="I88" s="4" t="inlineStr">
        <is>
          <t>API Negative</t>
        </is>
      </c>
      <c r="J88" s="4" t="inlineStr">
        <is>
          <t>API</t>
        </is>
      </c>
      <c r="K88" s="4" t="inlineStr">
        <is>
          <t>Authenticated agent; DISPOSABLE draft application id</t>
        </is>
      </c>
      <c r="L88" s="4" t="inlineStr">
        <is>
          <t>1. POST /applications/{id}/beneficiaries with a single 60% primary
2. POST /applications/{id}/validate</t>
        </is>
      </c>
      <c r="M88" s="4" t="inlineStr">
        <is>
          <t>Generated synthetic data (utils/dataBuilder.js)</t>
        </is>
      </c>
      <c r="N88" s="4" t="inlineStr">
        <is>
          <t>The validation result contains an allocation error</t>
        </is>
      </c>
      <c r="O88" s="14" t="inlineStr">
        <is>
          <t>High</t>
        </is>
      </c>
      <c r="P88" s="15" t="inlineStr">
        <is>
          <t>P2</t>
        </is>
      </c>
      <c r="Q88" s="4" t="inlineStr">
        <is>
          <t>P1</t>
        </is>
      </c>
      <c r="R88" s="4" t="inlineStr">
        <is>
          <t>N</t>
        </is>
      </c>
      <c r="S88" s="4" t="inlineStr">
        <is>
          <t>N</t>
        </is>
      </c>
      <c r="T88" s="4" t="inlineStr">
        <is>
          <t>N</t>
        </is>
      </c>
      <c r="U88" s="4" t="inlineStr">
        <is>
          <t>Response status/body attached</t>
        </is>
      </c>
      <c r="V88" s="13" t="inlineStr">
        <is>
          <t>Automated</t>
        </is>
      </c>
      <c r="W88" s="4" t="inlineStr">
        <is>
          <t>tests/api/applications.api.spec.js</t>
        </is>
      </c>
      <c r="X88" s="4" t="inlineStr">
        <is>
          <t>Needs a draft application id (Q21)</t>
        </is>
      </c>
      <c r="Y88" s="4" t="inlineStr">
        <is>
          <t>Q21</t>
        </is>
      </c>
      <c r="Z88" s="4" t="inlineStr"/>
      <c r="AA88" s="4" t="inlineStr">
        <is>
          <t>@regression @api @p2 @seeded</t>
        </is>
      </c>
      <c r="AB88" s="15" t="inlineStr">
        <is>
          <t>Not in smoke scope</t>
        </is>
      </c>
      <c r="AC88" s="15" t="inlineStr">
        <is>
          <t>Failed or skipped (not itemised)</t>
        </is>
      </c>
      <c r="AD88" s="15" t="inlineStr">
        <is>
          <t>Not in smoke scope</t>
        </is>
      </c>
      <c r="AE88" s="15" t="inlineStr">
        <is>
          <t>Not in smoke scope</t>
        </is>
      </c>
      <c r="AF88" s="15" t="inlineStr">
        <is>
          <t>Not in smoke scope</t>
        </is>
      </c>
      <c r="AG88" s="4" t="inlineStr">
        <is>
          <t>AD-03, AD-11</t>
        </is>
      </c>
    </row>
    <row r="89">
      <c r="A89" s="4" t="inlineStr">
        <is>
          <t>TC-API-V05</t>
        </is>
      </c>
      <c r="B89" s="4" t="inlineStr">
        <is>
          <t>Submit API rejects incomplete application</t>
        </is>
      </c>
      <c r="C89" s="4" t="inlineStr">
        <is>
          <t>API Validation</t>
        </is>
      </c>
      <c r="D89" s="4" t="inlineStr">
        <is>
          <t>API-V05</t>
        </is>
      </c>
      <c r="E89" s="4" t="inlineStr">
        <is>
          <t>S1</t>
        </is>
      </c>
      <c r="F89" s="4" t="inlineStr">
        <is>
          <t>R29, R35</t>
        </is>
      </c>
      <c r="G89" s="4" t="inlineStr">
        <is>
          <t>RI-06: Mandatory KYC documents not enforced</t>
        </is>
      </c>
      <c r="H89" s="11" t="inlineStr">
        <is>
          <t>SDC-06</t>
        </is>
      </c>
      <c r="I89" s="4" t="inlineStr">
        <is>
          <t>API Negative</t>
        </is>
      </c>
      <c r="J89" s="4" t="inlineStr">
        <is>
          <t>API + DB</t>
        </is>
      </c>
      <c r="K89" s="4" t="inlineStr">
        <is>
          <t>Authenticated agent; a draft application that is INCOMPLETE</t>
        </is>
      </c>
      <c r="L89" s="4" t="inlineStr">
        <is>
          <t>1. POST /applications/{id}/submit</t>
        </is>
      </c>
      <c r="M89" s="4" t="inlineStr">
        <is>
          <t>Generated synthetic data (utils/dataBuilder.js)</t>
        </is>
      </c>
      <c r="N89" s="4" t="inlineStr">
        <is>
          <t>4xx response; no reference number in the body</t>
        </is>
      </c>
      <c r="O89" s="12" t="inlineStr">
        <is>
          <t>Critical</t>
        </is>
      </c>
      <c r="P89" s="12" t="inlineStr">
        <is>
          <t>P1</t>
        </is>
      </c>
      <c r="Q89" s="4" t="inlineStr">
        <is>
          <t>P1</t>
        </is>
      </c>
      <c r="R89" s="4" t="inlineStr">
        <is>
          <t>Y</t>
        </is>
      </c>
      <c r="S89" s="4" t="inlineStr">
        <is>
          <t>N</t>
        </is>
      </c>
      <c r="T89" s="4" t="inlineStr">
        <is>
          <t>N</t>
        </is>
      </c>
      <c r="U89" s="4" t="inlineStr">
        <is>
          <t>Response status/body attached</t>
        </is>
      </c>
      <c r="V89" s="13" t="inlineStr">
        <is>
          <t>Automated</t>
        </is>
      </c>
      <c r="W89" s="4" t="inlineStr">
        <is>
          <t>tests/api/applications.api.spec.js</t>
        </is>
      </c>
      <c r="X89" s="4" t="inlineStr">
        <is>
          <t>Needs a draft application id (Q21)</t>
        </is>
      </c>
      <c r="Y89" s="4" t="inlineStr">
        <is>
          <t>Q21</t>
        </is>
      </c>
      <c r="Z89" s="4" t="inlineStr"/>
      <c r="AA89" s="4" t="inlineStr">
        <is>
          <t>@regression @api @p1 @release-gate @seeded</t>
        </is>
      </c>
      <c r="AB89" s="15" t="inlineStr">
        <is>
          <t>Not in smoke scope</t>
        </is>
      </c>
      <c r="AC89" s="15" t="inlineStr">
        <is>
          <t>Failed or skipped (not itemised)</t>
        </is>
      </c>
      <c r="AD89" s="15" t="inlineStr">
        <is>
          <t>Not in smoke scope</t>
        </is>
      </c>
      <c r="AE89" s="15" t="inlineStr">
        <is>
          <t>Not in smoke scope</t>
        </is>
      </c>
      <c r="AF89" s="15" t="inlineStr">
        <is>
          <t>Not in smoke scope</t>
        </is>
      </c>
      <c r="AG89" s="4" t="inlineStr">
        <is>
          <t>AD-03, AD-11</t>
        </is>
      </c>
    </row>
    <row r="90">
      <c r="A90" s="4" t="inlineStr">
        <is>
          <t>TC-API-V06</t>
        </is>
      </c>
      <c r="B90" s="4" t="inlineStr">
        <is>
          <t>Status API matches the applications list</t>
        </is>
      </c>
      <c r="C90" s="4" t="inlineStr">
        <is>
          <t>API Validation</t>
        </is>
      </c>
      <c r="D90" s="4" t="inlineStr">
        <is>
          <t>API-V06</t>
        </is>
      </c>
      <c r="E90" s="4" t="inlineStr">
        <is>
          <t>S1</t>
        </is>
      </c>
      <c r="F90" s="4" t="inlineStr">
        <is>
          <t>R07</t>
        </is>
      </c>
      <c r="G90" s="4" t="inlineStr">
        <is>
          <t>RI-18: Dashboard status differs from backend status</t>
        </is>
      </c>
      <c r="H90" s="11" t="inlineStr">
        <is>
          <t>SDC-18</t>
        </is>
      </c>
      <c r="I90" s="4" t="inlineStr">
        <is>
          <t>UI-API Integration</t>
        </is>
      </c>
      <c r="J90" s="4" t="inlineStr">
        <is>
          <t>API</t>
        </is>
      </c>
      <c r="K90" s="4" t="inlineStr">
        <is>
          <t>Valid agent (AGENT_VALID) signed in via saved session; environment reachable</t>
        </is>
      </c>
      <c r="L90" s="4" t="inlineStr">
        <is>
          <t>1. GET /applications
2. For up to 5 items GET /applications/{id}/status
3. Compare status</t>
        </is>
      </c>
      <c r="M90" s="4" t="inlineStr">
        <is>
          <t>Generated synthetic data (utils/dataBuilder.js)</t>
        </is>
      </c>
      <c r="N90" s="4" t="inlineStr">
        <is>
          <t>List status equals status-endpoint status for each application</t>
        </is>
      </c>
      <c r="O90" s="14" t="inlineStr">
        <is>
          <t>High</t>
        </is>
      </c>
      <c r="P90" s="15" t="inlineStr">
        <is>
          <t>P2</t>
        </is>
      </c>
      <c r="Q90" s="4" t="inlineStr">
        <is>
          <t>P1</t>
        </is>
      </c>
      <c r="R90" s="4" t="inlineStr">
        <is>
          <t>N</t>
        </is>
      </c>
      <c r="S90" s="4" t="inlineStr">
        <is>
          <t>N</t>
        </is>
      </c>
      <c r="T90" s="4" t="inlineStr">
        <is>
          <t>N</t>
        </is>
      </c>
      <c r="U90" s="4" t="inlineStr">
        <is>
          <t>Response status/body attached</t>
        </is>
      </c>
      <c r="V90" s="13" t="inlineStr">
        <is>
          <t>Automated</t>
        </is>
      </c>
      <c r="W90" s="4" t="inlineStr">
        <is>
          <t>tests/api/applications.api.spec.js</t>
        </is>
      </c>
      <c r="X90" s="4" t="inlineStr"/>
      <c r="Y90" s="4" t="inlineStr"/>
      <c r="Z90" s="4" t="inlineStr"/>
      <c r="AA90" s="4" t="inlineStr">
        <is>
          <t>@regression @api @p2 @seeded</t>
        </is>
      </c>
      <c r="AB90" s="15" t="inlineStr">
        <is>
          <t>Not in smoke scope</t>
        </is>
      </c>
      <c r="AC90" s="15" t="inlineStr">
        <is>
          <t>Failed or skipped (not itemised)</t>
        </is>
      </c>
      <c r="AD90" s="15" t="inlineStr">
        <is>
          <t>Not in smoke scope</t>
        </is>
      </c>
      <c r="AE90" s="15" t="inlineStr">
        <is>
          <t>Not in smoke scope</t>
        </is>
      </c>
      <c r="AF90" s="15" t="inlineStr">
        <is>
          <t>Not in smoke scope</t>
        </is>
      </c>
      <c r="AG90" s="4" t="inlineStr">
        <is>
          <t>AD-03, AD-11</t>
        </is>
      </c>
    </row>
    <row r="91">
      <c r="A91" s="4" t="inlineStr">
        <is>
          <t>TC-API-V07</t>
        </is>
      </c>
      <c r="B91" s="4" t="inlineStr">
        <is>
          <t>Product detail API matches UI detail page</t>
        </is>
      </c>
      <c r="C91" s="4" t="inlineStr">
        <is>
          <t>API Validation</t>
        </is>
      </c>
      <c r="D91" s="4" t="inlineStr">
        <is>
          <t>API-V07</t>
        </is>
      </c>
      <c r="E91" s="4" t="inlineStr">
        <is>
          <t>S1</t>
        </is>
      </c>
      <c r="F91" s="4" t="inlineStr">
        <is>
          <t>R37</t>
        </is>
      </c>
      <c r="G91" s="4" t="inlineStr">
        <is>
          <t>RI-19: API validation differs from UI validation</t>
        </is>
      </c>
      <c r="H91" s="11" t="inlineStr">
        <is>
          <t>SDC-19</t>
        </is>
      </c>
      <c r="I91" s="4" t="inlineStr">
        <is>
          <t>UI-API Integration</t>
        </is>
      </c>
      <c r="J91" s="4" t="inlineStr">
        <is>
          <t>UI + API</t>
        </is>
      </c>
      <c r="K91" s="4" t="inlineStr">
        <is>
          <t>Valid agent (AGENT_VALID) signed in via saved session; environment reachable; NEW application open at the product step with every earlier step completed using valid data</t>
        </is>
      </c>
      <c r="L91" s="4" t="inlineStr">
        <is>
          <t>1. Read the first product name on the UI
2. GET /products and find the same product
3. GET /products/{id}</t>
        </is>
      </c>
      <c r="M91" s="4" t="inlineStr">
        <is>
          <t>Generated synthetic data (utils/dataBuilder.js)</t>
        </is>
      </c>
      <c r="N91" s="4" t="inlineStr">
        <is>
          <t>The API product name appears in the UI product card text</t>
        </is>
      </c>
      <c r="O91" s="16" t="inlineStr">
        <is>
          <t>Medium</t>
        </is>
      </c>
      <c r="P91" s="15" t="inlineStr">
        <is>
          <t>P2</t>
        </is>
      </c>
      <c r="Q91" s="4" t="inlineStr">
        <is>
          <t>P2</t>
        </is>
      </c>
      <c r="R91" s="4" t="inlineStr">
        <is>
          <t>N</t>
        </is>
      </c>
      <c r="S91" s="4" t="inlineStr">
        <is>
          <t>N</t>
        </is>
      </c>
      <c r="T91" s="4" t="inlineStr">
        <is>
          <t>N</t>
        </is>
      </c>
      <c r="U91" s="4" t="inlineStr">
        <is>
          <t>Screenshot + API response attached</t>
        </is>
      </c>
      <c r="V91" s="13" t="inlineStr">
        <is>
          <t>Automated</t>
        </is>
      </c>
      <c r="W91" s="4" t="inlineStr">
        <is>
          <t>tests/integration/ui-api.spec.js</t>
        </is>
      </c>
      <c r="X91" s="4" t="inlineStr">
        <is>
          <t>Needs product ids in the API response</t>
        </is>
      </c>
      <c r="Y91" s="4" t="inlineStr"/>
      <c r="Z91" s="4" t="inlineStr"/>
      <c r="AA91" s="4" t="inlineStr">
        <is>
          <t>@regression @api @p2 @seeded</t>
        </is>
      </c>
      <c r="AB91" s="15" t="inlineStr">
        <is>
          <t>Not in smoke scope</t>
        </is>
      </c>
      <c r="AC91" s="15" t="inlineStr">
        <is>
          <t>Failed or skipped (not itemised)</t>
        </is>
      </c>
      <c r="AD91" s="15" t="inlineStr">
        <is>
          <t>Not in smoke scope</t>
        </is>
      </c>
      <c r="AE91" s="15" t="inlineStr">
        <is>
          <t>Not in smoke scope</t>
        </is>
      </c>
      <c r="AF91" s="15" t="inlineStr">
        <is>
          <t>Not in smoke scope</t>
        </is>
      </c>
      <c r="AG91" s="4" t="inlineStr"/>
    </row>
    <row r="92">
      <c r="A92" s="4" t="inlineStr">
        <is>
          <t>TC-API-V08</t>
        </is>
      </c>
      <c r="B92" s="4" t="inlineStr">
        <is>
          <t>Applications API returns only logged-in agent records</t>
        </is>
      </c>
      <c r="C92" s="4" t="inlineStr">
        <is>
          <t>API Validation</t>
        </is>
      </c>
      <c r="D92" s="4" t="inlineStr">
        <is>
          <t>API-V08</t>
        </is>
      </c>
      <c r="E92" s="4" t="inlineStr">
        <is>
          <t>S1</t>
        </is>
      </c>
      <c r="F92" s="4" t="inlineStr">
        <is>
          <t>R08</t>
        </is>
      </c>
      <c r="G92" s="4" t="inlineStr"/>
      <c r="H92" s="11" t="inlineStr"/>
      <c r="I92" s="4" t="inlineStr">
        <is>
          <t>API Security</t>
        </is>
      </c>
      <c r="J92" s="4" t="inlineStr">
        <is>
          <t>API</t>
        </is>
      </c>
      <c r="K92" s="4" t="inlineStr">
        <is>
          <t>Two seeded agents (AGENT_VALID, AGENT_SECOND)</t>
        </is>
      </c>
      <c r="L92" s="4" t="inlineStr">
        <is>
          <t>1. GET /applications as agent A
2. GET /applications as agent B
3. Compare ids</t>
        </is>
      </c>
      <c r="M92" s="4" t="inlineStr">
        <is>
          <t>AGENT_VALID_*, AGENT_SECOND_*</t>
        </is>
      </c>
      <c r="N92" s="4" t="inlineStr">
        <is>
          <t>The id sets are disjoint</t>
        </is>
      </c>
      <c r="O92" s="12" t="inlineStr">
        <is>
          <t>Critical</t>
        </is>
      </c>
      <c r="P92" s="15" t="inlineStr">
        <is>
          <t>P2</t>
        </is>
      </c>
      <c r="Q92" s="4" t="inlineStr">
        <is>
          <t>P1</t>
        </is>
      </c>
      <c r="R92" s="4" t="inlineStr">
        <is>
          <t>N</t>
        </is>
      </c>
      <c r="S92" s="4" t="inlineStr">
        <is>
          <t>N</t>
        </is>
      </c>
      <c r="T92" s="4" t="inlineStr">
        <is>
          <t>N</t>
        </is>
      </c>
      <c r="U92" s="4" t="inlineStr">
        <is>
          <t>Response status/body attached</t>
        </is>
      </c>
      <c r="V92" s="13" t="inlineStr">
        <is>
          <t>Automated</t>
        </is>
      </c>
      <c r="W92" s="4" t="inlineStr">
        <is>
          <t>tests/api/applications.api.spec.js</t>
        </is>
      </c>
      <c r="X92" s="4" t="inlineStr">
        <is>
          <t>Second agent defaults to learner001 (confirmed seeded); override with AGENT_SECOND_EMAIL</t>
        </is>
      </c>
      <c r="Y92" s="4" t="inlineStr"/>
      <c r="Z92" s="4" t="inlineStr"/>
      <c r="AA92" s="4" t="inlineStr">
        <is>
          <t>@regression @api @p2</t>
        </is>
      </c>
      <c r="AB92" s="15" t="inlineStr">
        <is>
          <t>Not in smoke scope</t>
        </is>
      </c>
      <c r="AC92" s="15" t="inlineStr">
        <is>
          <t>Failed or skipped (not itemised)</t>
        </is>
      </c>
      <c r="AD92" s="15" t="inlineStr">
        <is>
          <t>Not in smoke scope</t>
        </is>
      </c>
      <c r="AE92" s="15" t="inlineStr">
        <is>
          <t>Not in smoke scope</t>
        </is>
      </c>
      <c r="AF92" s="15" t="inlineStr">
        <is>
          <t>Not in smoke scope</t>
        </is>
      </c>
      <c r="AG92" s="4" t="inlineStr">
        <is>
          <t>AD-03, AD-11, AC-02</t>
        </is>
      </c>
    </row>
    <row r="93">
      <c r="A93" s="4" t="inlineStr">
        <is>
          <t>TC-API-V09</t>
        </is>
      </c>
      <c r="B93" s="4" t="inlineStr">
        <is>
          <t>Riders API schema, eligibility and dependency rules</t>
        </is>
      </c>
      <c r="C93" s="4" t="inlineStr">
        <is>
          <t>API Validation</t>
        </is>
      </c>
      <c r="D93" s="4" t="inlineStr">
        <is>
          <t>API-V09</t>
        </is>
      </c>
      <c r="E93" s="4" t="inlineStr">
        <is>
          <t>S1+</t>
        </is>
      </c>
      <c r="F93" s="4" t="inlineStr">
        <is>
          <t>R37</t>
        </is>
      </c>
      <c r="G93" s="4" t="inlineStr"/>
      <c r="H93" s="11" t="inlineStr"/>
      <c r="I93" s="4" t="inlineStr">
        <is>
          <t>API</t>
        </is>
      </c>
      <c r="J93" s="4" t="inlineStr">
        <is>
          <t>API</t>
        </is>
      </c>
      <c r="K93" s="4" t="inlineStr">
        <is>
          <t>Valid agent (AGENT_VALID) signed in via saved session; environment reachable</t>
        </is>
      </c>
      <c r="L93" s="4" t="inlineStr">
        <is>
          <t>1. GET /riders</t>
        </is>
      </c>
      <c r="M93" s="4" t="inlineStr">
        <is>
          <t>Generated synthetic data (utils/dataBuilder.js)</t>
        </is>
      </c>
      <c r="N93" s="4" t="inlineStr">
        <is>
          <t>200, JSON, non-empty list; each rider has an id and a name</t>
        </is>
      </c>
      <c r="O93" s="16" t="inlineStr">
        <is>
          <t>Medium</t>
        </is>
      </c>
      <c r="P93" s="15" t="inlineStr">
        <is>
          <t>P2</t>
        </is>
      </c>
      <c r="Q93" s="4" t="inlineStr">
        <is>
          <t>P2</t>
        </is>
      </c>
      <c r="R93" s="4" t="inlineStr">
        <is>
          <t>N</t>
        </is>
      </c>
      <c r="S93" s="4" t="inlineStr">
        <is>
          <t>N</t>
        </is>
      </c>
      <c r="T93" s="4" t="inlineStr">
        <is>
          <t>N</t>
        </is>
      </c>
      <c r="U93" s="4" t="inlineStr">
        <is>
          <t>Response status/body attached</t>
        </is>
      </c>
      <c r="V93" s="13" t="inlineStr">
        <is>
          <t>Automated</t>
        </is>
      </c>
      <c r="W93" s="4" t="inlineStr">
        <is>
          <t>tests/api/applications.api.spec.js</t>
        </is>
      </c>
      <c r="X93" s="4" t="inlineStr"/>
      <c r="Y93" s="4" t="inlineStr"/>
      <c r="Z93" s="4" t="inlineStr"/>
      <c r="AA93" s="4" t="inlineStr">
        <is>
          <t>@regression @api @p2</t>
        </is>
      </c>
      <c r="AB93" s="15" t="inlineStr">
        <is>
          <t>Not in smoke scope</t>
        </is>
      </c>
      <c r="AC93" s="15" t="inlineStr">
        <is>
          <t>Failed or skipped (not itemised)</t>
        </is>
      </c>
      <c r="AD93" s="15" t="inlineStr">
        <is>
          <t>Not in smoke scope</t>
        </is>
      </c>
      <c r="AE93" s="15" t="inlineStr">
        <is>
          <t>Not in smoke scope</t>
        </is>
      </c>
      <c r="AF93" s="15" t="inlineStr">
        <is>
          <t>Not in smoke scope</t>
        </is>
      </c>
      <c r="AG93" s="4" t="inlineStr"/>
    </row>
    <row r="94">
      <c r="A94" s="4" t="inlineStr">
        <is>
          <t>TC-API-V10</t>
        </is>
      </c>
      <c r="B94" s="4" t="inlineStr">
        <is>
          <t>Documents API rejects invalid type and oversized file</t>
        </is>
      </c>
      <c r="C94" s="4" t="inlineStr">
        <is>
          <t>API Validation</t>
        </is>
      </c>
      <c r="D94" s="4" t="inlineStr">
        <is>
          <t>API-V10</t>
        </is>
      </c>
      <c r="E94" s="4" t="inlineStr">
        <is>
          <t>S1+</t>
        </is>
      </c>
      <c r="F94" s="4" t="inlineStr">
        <is>
          <t>R30</t>
        </is>
      </c>
      <c r="G94" s="4" t="inlineStr"/>
      <c r="H94" s="11" t="inlineStr"/>
      <c r="I94" s="4" t="inlineStr">
        <is>
          <t>API Negative</t>
        </is>
      </c>
      <c r="J94" s="4" t="inlineStr">
        <is>
          <t>API</t>
        </is>
      </c>
      <c r="K94" s="4" t="inlineStr">
        <is>
          <t>Authenticated agent; DISPOSABLE draft application id</t>
        </is>
      </c>
      <c r="L94" s="4" t="inlineStr">
        <is>
          <t>1. POST /applications/{id}/documents with an .exe
2. POST with an oversize PDF</t>
        </is>
      </c>
      <c r="M94" s="4" t="inlineStr">
        <is>
          <t>Generated synthetic data (utils/dataBuilder.js)</t>
        </is>
      </c>
      <c r="N94" s="4" t="inlineStr">
        <is>
          <t>Both are rejected with 4xx</t>
        </is>
      </c>
      <c r="O94" s="16" t="inlineStr">
        <is>
          <t>Medium</t>
        </is>
      </c>
      <c r="P94" s="15" t="inlineStr">
        <is>
          <t>P2</t>
        </is>
      </c>
      <c r="Q94" s="4" t="inlineStr">
        <is>
          <t>P2</t>
        </is>
      </c>
      <c r="R94" s="4" t="inlineStr">
        <is>
          <t>N</t>
        </is>
      </c>
      <c r="S94" s="4" t="inlineStr">
        <is>
          <t>N</t>
        </is>
      </c>
      <c r="T94" s="4" t="inlineStr">
        <is>
          <t>N</t>
        </is>
      </c>
      <c r="U94" s="4" t="inlineStr">
        <is>
          <t>Response status/body attached</t>
        </is>
      </c>
      <c r="V94" s="13" t="inlineStr">
        <is>
          <t>Automated</t>
        </is>
      </c>
      <c r="W94" s="4" t="inlineStr">
        <is>
          <t>tests/api/applications.api.spec.js</t>
        </is>
      </c>
      <c r="X94" s="4" t="inlineStr">
        <is>
          <t>Needs a draft application id; oversize part needs MAX_UPLOAD_MB</t>
        </is>
      </c>
      <c r="Y94" s="4" t="inlineStr"/>
      <c r="Z94" s="4" t="inlineStr"/>
      <c r="AA94" s="4" t="inlineStr">
        <is>
          <t>@regression @api @p2</t>
        </is>
      </c>
      <c r="AB94" s="15" t="inlineStr">
        <is>
          <t>Not in smoke scope</t>
        </is>
      </c>
      <c r="AC94" s="15" t="inlineStr">
        <is>
          <t>Failed or skipped (not itemised)</t>
        </is>
      </c>
      <c r="AD94" s="15" t="inlineStr">
        <is>
          <t>Not in smoke scope</t>
        </is>
      </c>
      <c r="AE94" s="15" t="inlineStr">
        <is>
          <t>Not in smoke scope</t>
        </is>
      </c>
      <c r="AF94" s="15" t="inlineStr">
        <is>
          <t>Not in smoke scope</t>
        </is>
      </c>
      <c r="AG94" s="4" t="inlineStr">
        <is>
          <t>AD-03, AD-11</t>
        </is>
      </c>
    </row>
    <row r="95">
      <c r="A95" s="4" t="inlineStr">
        <is>
          <t>TC-API-V11</t>
        </is>
      </c>
      <c r="B95" s="4" t="inlineStr">
        <is>
          <t>Status API returns history and timestamps</t>
        </is>
      </c>
      <c r="C95" s="4" t="inlineStr">
        <is>
          <t>API Validation</t>
        </is>
      </c>
      <c r="D95" s="4" t="inlineStr">
        <is>
          <t>API-V11</t>
        </is>
      </c>
      <c r="E95" s="4" t="inlineStr">
        <is>
          <t>S1+</t>
        </is>
      </c>
      <c r="F95" s="4" t="inlineStr">
        <is>
          <t>R34</t>
        </is>
      </c>
      <c r="G95" s="4" t="inlineStr"/>
      <c r="H95" s="11" t="inlineStr"/>
      <c r="I95" s="4" t="inlineStr">
        <is>
          <t>API</t>
        </is>
      </c>
      <c r="J95" s="4" t="inlineStr">
        <is>
          <t>API</t>
        </is>
      </c>
      <c r="K95" s="4" t="inlineStr">
        <is>
          <t>Valid agent (AGENT_VALID) signed in via saved session; environment reachable</t>
        </is>
      </c>
      <c r="L95" s="4" t="inlineStr">
        <is>
          <t>1. GET /applications
2. GET /applications/{id}/status for the first application</t>
        </is>
      </c>
      <c r="M95" s="4" t="inlineStr">
        <is>
          <t>Generated synthetic data (utils/dataBuilder.js)</t>
        </is>
      </c>
      <c r="N95" s="4" t="inlineStr">
        <is>
          <t>200 and a status value; where a history is returned each entry has a timestamp</t>
        </is>
      </c>
      <c r="O95" s="16" t="inlineStr">
        <is>
          <t>Medium</t>
        </is>
      </c>
      <c r="P95" s="15" t="inlineStr">
        <is>
          <t>P2</t>
        </is>
      </c>
      <c r="Q95" s="4" t="inlineStr">
        <is>
          <t>P2</t>
        </is>
      </c>
      <c r="R95" s="4" t="inlineStr">
        <is>
          <t>N</t>
        </is>
      </c>
      <c r="S95" s="4" t="inlineStr">
        <is>
          <t>N</t>
        </is>
      </c>
      <c r="T95" s="4" t="inlineStr">
        <is>
          <t>N</t>
        </is>
      </c>
      <c r="U95" s="4" t="inlineStr">
        <is>
          <t>Response status/body attached</t>
        </is>
      </c>
      <c r="V95" s="13" t="inlineStr">
        <is>
          <t>Automated</t>
        </is>
      </c>
      <c r="W95" s="4" t="inlineStr">
        <is>
          <t>tests/api/applications.api.spec.js</t>
        </is>
      </c>
      <c r="X95" s="4" t="inlineStr"/>
      <c r="Y95" s="4" t="inlineStr"/>
      <c r="Z95" s="4" t="inlineStr"/>
      <c r="AA95" s="4" t="inlineStr">
        <is>
          <t>@regression @api @p2</t>
        </is>
      </c>
      <c r="AB95" s="15" t="inlineStr">
        <is>
          <t>Not in smoke scope</t>
        </is>
      </c>
      <c r="AC95" s="15" t="inlineStr">
        <is>
          <t>Failed or skipped (not itemised)</t>
        </is>
      </c>
      <c r="AD95" s="15" t="inlineStr">
        <is>
          <t>Not in smoke scope</t>
        </is>
      </c>
      <c r="AE95" s="15" t="inlineStr">
        <is>
          <t>Not in smoke scope</t>
        </is>
      </c>
      <c r="AF95" s="15" t="inlineStr">
        <is>
          <t>Not in smoke scope</t>
        </is>
      </c>
      <c r="AG95" s="4" t="inlineStr">
        <is>
          <t>AD-03, AD-11</t>
        </is>
      </c>
    </row>
    <row r="96">
      <c r="A96" s="4" t="inlineStr">
        <is>
          <t>TC-API-V12</t>
        </is>
      </c>
      <c r="B96" s="4" t="inlineStr">
        <is>
          <t>UI/API validation parity for the same invalid input</t>
        </is>
      </c>
      <c r="C96" s="4" t="inlineStr">
        <is>
          <t>API Validation</t>
        </is>
      </c>
      <c r="D96" s="4" t="inlineStr">
        <is>
          <t>API-V12</t>
        </is>
      </c>
      <c r="E96" s="4" t="inlineStr">
        <is>
          <t>S1+</t>
        </is>
      </c>
      <c r="F96" s="4" t="inlineStr">
        <is>
          <t>R37</t>
        </is>
      </c>
      <c r="G96" s="4" t="inlineStr">
        <is>
          <t>RI-19: API validation differs from UI validation
RI-05: Future date of birth accepted</t>
        </is>
      </c>
      <c r="H96" s="11" t="inlineStr">
        <is>
          <t>SDC-19, SDC-05</t>
        </is>
      </c>
      <c r="I96" s="4" t="inlineStr">
        <is>
          <t>UI-API Integration</t>
        </is>
      </c>
      <c r="J96" s="4" t="inlineStr">
        <is>
          <t>UI + API</t>
        </is>
      </c>
      <c r="K96" s="4" t="inlineStr">
        <is>
          <t>Valid agent (AGENT_VALID) signed in via saved session; environment reachable; NEW application open at the client step (first step)</t>
        </is>
      </c>
      <c r="L96" s="4" t="inlineStr">
        <is>
          <t>1. Enter a future DOB in the UI and click Next
2. Send the same DOB to POST /applications/{id}/client</t>
        </is>
      </c>
      <c r="M96" s="4" t="inlineStr">
        <is>
          <t>Generated synthetic data (utils/dataBuilder.js)</t>
        </is>
      </c>
      <c r="N96" s="4" t="inlineStr">
        <is>
          <t>Both the UI and the API reject the future DOB</t>
        </is>
      </c>
      <c r="O96" s="14" t="inlineStr">
        <is>
          <t>High</t>
        </is>
      </c>
      <c r="P96" s="15" t="inlineStr">
        <is>
          <t>P2</t>
        </is>
      </c>
      <c r="Q96" s="4" t="inlineStr">
        <is>
          <t>P1</t>
        </is>
      </c>
      <c r="R96" s="4" t="inlineStr">
        <is>
          <t>N</t>
        </is>
      </c>
      <c r="S96" s="4" t="inlineStr">
        <is>
          <t>N</t>
        </is>
      </c>
      <c r="T96" s="4" t="inlineStr">
        <is>
          <t>N</t>
        </is>
      </c>
      <c r="U96" s="4" t="inlineStr">
        <is>
          <t>Screenshot + API response attached</t>
        </is>
      </c>
      <c r="V96" s="13" t="inlineStr">
        <is>
          <t>Automated</t>
        </is>
      </c>
      <c r="W96" s="4" t="inlineStr">
        <is>
          <t>tests/integration/ui-api.spec.js</t>
        </is>
      </c>
      <c r="X96" s="4" t="inlineStr">
        <is>
          <t>Needs the application id from the URL</t>
        </is>
      </c>
      <c r="Y96" s="4" t="inlineStr"/>
      <c r="Z96" s="4" t="inlineStr"/>
      <c r="AA96" s="4" t="inlineStr">
        <is>
          <t>@regression @api @p2 @seeded</t>
        </is>
      </c>
      <c r="AB96" s="15" t="inlineStr">
        <is>
          <t>Not in smoke scope</t>
        </is>
      </c>
      <c r="AC96" s="15" t="inlineStr">
        <is>
          <t>Failed or skipped (not itemised)</t>
        </is>
      </c>
      <c r="AD96" s="15" t="inlineStr">
        <is>
          <t>Not in smoke scope</t>
        </is>
      </c>
      <c r="AE96" s="15" t="inlineStr">
        <is>
          <t>Not in smoke scope</t>
        </is>
      </c>
      <c r="AF96" s="15" t="inlineStr">
        <is>
          <t>Not in smoke scope</t>
        </is>
      </c>
      <c r="AG96" s="4" t="inlineStr"/>
    </row>
    <row r="97">
      <c r="A97" s="4" t="inlineStr">
        <is>
          <t>TC-DB-01</t>
        </is>
      </c>
      <c r="B97" s="4" t="inlineStr">
        <is>
          <t>Draft row exists with fields entered so far; resume matches stored data</t>
        </is>
      </c>
      <c r="C97" s="4" t="inlineStr">
        <is>
          <t>Database Validation</t>
        </is>
      </c>
      <c r="D97" s="4" t="inlineStr">
        <is>
          <t>DB-01</t>
        </is>
      </c>
      <c r="E97" s="4" t="inlineStr">
        <is>
          <t>DB</t>
        </is>
      </c>
      <c r="F97" s="4" t="inlineStr">
        <is>
          <t>R33, R41</t>
        </is>
      </c>
      <c r="G97" s="4" t="inlineStr"/>
      <c r="H97" s="11" t="inlineStr"/>
      <c r="I97" s="4" t="inlineStr">
        <is>
          <t>Database</t>
        </is>
      </c>
      <c r="J97" s="4" t="inlineStr">
        <is>
          <t>DB</t>
        </is>
      </c>
      <c r="K97" s="4" t="inlineStr">
        <is>
          <t>Read-only database access granted (Q04); schema / data dictionary shared</t>
        </is>
      </c>
      <c r="L97" s="4" t="inlineStr">
        <is>
          <t>1. Run the UI or API scenario that creates the data
2. Run the read-only validation query for this check
3. Compare the result with the UI/API value</t>
        </is>
      </c>
      <c r="M97" s="4" t="inlineStr">
        <is>
          <t>Linked scenario(s): WF-V01, WF-V02</t>
        </is>
      </c>
      <c r="N97" s="4" t="inlineStr">
        <is>
          <t>Query result matches the UI/API outcome (see the illustrative query pattern in Submission 1, section 3.4)</t>
        </is>
      </c>
      <c r="O97" s="14" t="inlineStr">
        <is>
          <t>High</t>
        </is>
      </c>
      <c r="P97" s="15" t="inlineStr">
        <is>
          <t>P2</t>
        </is>
      </c>
      <c r="Q97" s="4" t="inlineStr">
        <is>
          <t>P2</t>
        </is>
      </c>
      <c r="R97" s="4" t="inlineStr">
        <is>
          <t>N</t>
        </is>
      </c>
      <c r="S97" s="4" t="inlineStr">
        <is>
          <t>N</t>
        </is>
      </c>
      <c r="T97" s="4" t="inlineStr">
        <is>
          <t>N</t>
        </is>
      </c>
      <c r="U97" s="4" t="inlineStr">
        <is>
          <t>Query text + result attached to the report</t>
        </is>
      </c>
      <c r="V97" s="12" t="inlineStr">
        <is>
          <t>Blocked</t>
        </is>
      </c>
      <c r="W97" s="4" t="inlineStr"/>
      <c r="X97" s="4" t="inlineStr"/>
      <c r="Y97" s="4" t="inlineStr">
        <is>
          <t>Q04</t>
        </is>
      </c>
      <c r="Z97" s="4" t="inlineStr">
        <is>
          <t>No database engine, schema or credentials supplied (Submission 1 question Q04 / dependency D06). API-read proxy is used where the linked API scenario exists.</t>
        </is>
      </c>
      <c r="AA97" s="4" t="inlineStr">
        <is>
          <t>@regression @database @p2</t>
        </is>
      </c>
      <c r="AB97" s="15" t="inlineStr">
        <is>
          <t>Not automated</t>
        </is>
      </c>
      <c r="AC97" s="15" t="inlineStr">
        <is>
          <t>Not automated</t>
        </is>
      </c>
      <c r="AD97" s="15" t="inlineStr">
        <is>
          <t>Not automated</t>
        </is>
      </c>
      <c r="AE97" s="15" t="inlineStr">
        <is>
          <t>Not automated</t>
        </is>
      </c>
      <c r="AF97" s="15" t="inlineStr">
        <is>
          <t>Not automated</t>
        </is>
      </c>
      <c r="AG97" s="4" t="inlineStr"/>
    </row>
    <row r="98">
      <c r="A98" s="4" t="inlineStr">
        <is>
          <t>TC-DB-02</t>
        </is>
      </c>
      <c r="B98" s="4" t="inlineStr">
        <is>
          <t>Submitted application has unique reference number and status = Submitted</t>
        </is>
      </c>
      <c r="C98" s="4" t="inlineStr">
        <is>
          <t>Database Validation</t>
        </is>
      </c>
      <c r="D98" s="4" t="inlineStr">
        <is>
          <t>DB-02</t>
        </is>
      </c>
      <c r="E98" s="4" t="inlineStr">
        <is>
          <t>DB</t>
        </is>
      </c>
      <c r="F98" s="4" t="inlineStr">
        <is>
          <t>R34, R41</t>
        </is>
      </c>
      <c r="G98" s="4" t="inlineStr"/>
      <c r="H98" s="11" t="inlineStr"/>
      <c r="I98" s="4" t="inlineStr">
        <is>
          <t>Database</t>
        </is>
      </c>
      <c r="J98" s="4" t="inlineStr">
        <is>
          <t>DB</t>
        </is>
      </c>
      <c r="K98" s="4" t="inlineStr">
        <is>
          <t>Read-only database access granted (Q04); schema / data dictionary shared</t>
        </is>
      </c>
      <c r="L98" s="4" t="inlineStr">
        <is>
          <t>1. Run the UI or API scenario that creates the data
2. Run the read-only validation query for this check
3. Compare the result with the UI/API value</t>
        </is>
      </c>
      <c r="M98" s="4" t="inlineStr">
        <is>
          <t>Linked scenario(s): WF-V03, WF-V06</t>
        </is>
      </c>
      <c r="N98" s="4" t="inlineStr">
        <is>
          <t>Query result matches the UI/API outcome (see the illustrative query pattern in Submission 1, section 3.4)</t>
        </is>
      </c>
      <c r="O98" s="14" t="inlineStr">
        <is>
          <t>High</t>
        </is>
      </c>
      <c r="P98" s="15" t="inlineStr">
        <is>
          <t>P2</t>
        </is>
      </c>
      <c r="Q98" s="4" t="inlineStr">
        <is>
          <t>P2</t>
        </is>
      </c>
      <c r="R98" s="4" t="inlineStr">
        <is>
          <t>N</t>
        </is>
      </c>
      <c r="S98" s="4" t="inlineStr">
        <is>
          <t>N</t>
        </is>
      </c>
      <c r="T98" s="4" t="inlineStr">
        <is>
          <t>N</t>
        </is>
      </c>
      <c r="U98" s="4" t="inlineStr">
        <is>
          <t>Query text + result attached to the report</t>
        </is>
      </c>
      <c r="V98" s="12" t="inlineStr">
        <is>
          <t>Blocked</t>
        </is>
      </c>
      <c r="W98" s="4" t="inlineStr"/>
      <c r="X98" s="4" t="inlineStr"/>
      <c r="Y98" s="4" t="inlineStr">
        <is>
          <t>Q04</t>
        </is>
      </c>
      <c r="Z98" s="4" t="inlineStr">
        <is>
          <t>No database engine, schema or credentials supplied (Submission 1 question Q04 / dependency D06). API-read proxy is used where the linked API scenario exists.</t>
        </is>
      </c>
      <c r="AA98" s="4" t="inlineStr">
        <is>
          <t>@regression @database @p2</t>
        </is>
      </c>
      <c r="AB98" s="15" t="inlineStr">
        <is>
          <t>Not automated</t>
        </is>
      </c>
      <c r="AC98" s="15" t="inlineStr">
        <is>
          <t>Not automated</t>
        </is>
      </c>
      <c r="AD98" s="15" t="inlineStr">
        <is>
          <t>Not automated</t>
        </is>
      </c>
      <c r="AE98" s="15" t="inlineStr">
        <is>
          <t>Not automated</t>
        </is>
      </c>
      <c r="AF98" s="15" t="inlineStr">
        <is>
          <t>Not automated</t>
        </is>
      </c>
      <c r="AG98" s="4" t="inlineStr"/>
    </row>
    <row r="99">
      <c r="A99" s="4" t="inlineStr">
        <is>
          <t>TC-DB-03</t>
        </is>
      </c>
      <c r="B99" s="4" t="inlineStr">
        <is>
          <t>Status history has a new timestamped entry for each transition</t>
        </is>
      </c>
      <c r="C99" s="4" t="inlineStr">
        <is>
          <t>Database Validation</t>
        </is>
      </c>
      <c r="D99" s="4" t="inlineStr">
        <is>
          <t>DB-03</t>
        </is>
      </c>
      <c r="E99" s="4" t="inlineStr">
        <is>
          <t>DB</t>
        </is>
      </c>
      <c r="F99" s="4" t="inlineStr">
        <is>
          <t>R07, R41</t>
        </is>
      </c>
      <c r="G99" s="4" t="inlineStr"/>
      <c r="H99" s="11" t="inlineStr"/>
      <c r="I99" s="4" t="inlineStr">
        <is>
          <t>Database</t>
        </is>
      </c>
      <c r="J99" s="4" t="inlineStr">
        <is>
          <t>DB</t>
        </is>
      </c>
      <c r="K99" s="4" t="inlineStr">
        <is>
          <t>Read-only database access granted (Q04); schema / data dictionary shared</t>
        </is>
      </c>
      <c r="L99" s="4" t="inlineStr">
        <is>
          <t>1. Run the UI or API scenario that creates the data
2. Run the read-only validation query for this check
3. Compare the result with the UI/API value</t>
        </is>
      </c>
      <c r="M99" s="4" t="inlineStr">
        <is>
          <t>Linked scenario(s): API-V11</t>
        </is>
      </c>
      <c r="N99" s="4" t="inlineStr">
        <is>
          <t>Query result matches the UI/API outcome (see the illustrative query pattern in Submission 1, section 3.4)</t>
        </is>
      </c>
      <c r="O99" s="14" t="inlineStr">
        <is>
          <t>High</t>
        </is>
      </c>
      <c r="P99" s="15" t="inlineStr">
        <is>
          <t>P2</t>
        </is>
      </c>
      <c r="Q99" s="4" t="inlineStr">
        <is>
          <t>P2</t>
        </is>
      </c>
      <c r="R99" s="4" t="inlineStr">
        <is>
          <t>N</t>
        </is>
      </c>
      <c r="S99" s="4" t="inlineStr">
        <is>
          <t>N</t>
        </is>
      </c>
      <c r="T99" s="4" t="inlineStr">
        <is>
          <t>N</t>
        </is>
      </c>
      <c r="U99" s="4" t="inlineStr">
        <is>
          <t>Query text + result attached to the report</t>
        </is>
      </c>
      <c r="V99" s="12" t="inlineStr">
        <is>
          <t>Blocked</t>
        </is>
      </c>
      <c r="W99" s="4" t="inlineStr"/>
      <c r="X99" s="4" t="inlineStr"/>
      <c r="Y99" s="4" t="inlineStr">
        <is>
          <t>Q04</t>
        </is>
      </c>
      <c r="Z99" s="4" t="inlineStr">
        <is>
          <t>No database engine, schema or credentials supplied (Submission 1 question Q04 / dependency D06). API-read proxy is used where the linked API scenario exists.</t>
        </is>
      </c>
      <c r="AA99" s="4" t="inlineStr">
        <is>
          <t>@regression @database @p2</t>
        </is>
      </c>
      <c r="AB99" s="15" t="inlineStr">
        <is>
          <t>Not automated</t>
        </is>
      </c>
      <c r="AC99" s="15" t="inlineStr">
        <is>
          <t>Not automated</t>
        </is>
      </c>
      <c r="AD99" s="15" t="inlineStr">
        <is>
          <t>Not automated</t>
        </is>
      </c>
      <c r="AE99" s="15" t="inlineStr">
        <is>
          <t>Not automated</t>
        </is>
      </c>
      <c r="AF99" s="15" t="inlineStr">
        <is>
          <t>Not automated</t>
        </is>
      </c>
      <c r="AG99" s="4" t="inlineStr"/>
    </row>
    <row r="100">
      <c r="A100" s="4" t="inlineStr">
        <is>
          <t>TC-DB-04</t>
        </is>
      </c>
      <c r="B100" s="4" t="inlineStr">
        <is>
          <t>Primary / secondary allocations each sum to 100; no duplicate Name+DOB+Relationship</t>
        </is>
      </c>
      <c r="C100" s="4" t="inlineStr">
        <is>
          <t>Database Validation</t>
        </is>
      </c>
      <c r="D100" s="4" t="inlineStr">
        <is>
          <t>DB-04</t>
        </is>
      </c>
      <c r="E100" s="4" t="inlineStr">
        <is>
          <t>DB</t>
        </is>
      </c>
      <c r="F100" s="4" t="inlineStr">
        <is>
          <t>R24, R41</t>
        </is>
      </c>
      <c r="G100" s="4" t="inlineStr"/>
      <c r="H100" s="11" t="inlineStr"/>
      <c r="I100" s="4" t="inlineStr">
        <is>
          <t>Database</t>
        </is>
      </c>
      <c r="J100" s="4" t="inlineStr">
        <is>
          <t>DB</t>
        </is>
      </c>
      <c r="K100" s="4" t="inlineStr">
        <is>
          <t>Read-only database access granted (Q04); schema / data dictionary shared</t>
        </is>
      </c>
      <c r="L100" s="4" t="inlineStr">
        <is>
          <t>1. Run the UI or API scenario that creates the data
2. Run the read-only validation query for this check
3. Compare the result with the UI/API value</t>
        </is>
      </c>
      <c r="M100" s="4" t="inlineStr">
        <is>
          <t>Linked scenario(s): BEN-V02..V09</t>
        </is>
      </c>
      <c r="N100" s="4" t="inlineStr">
        <is>
          <t>Query result matches the UI/API outcome (see the illustrative query pattern in Submission 1, section 3.4)</t>
        </is>
      </c>
      <c r="O100" s="14" t="inlineStr">
        <is>
          <t>High</t>
        </is>
      </c>
      <c r="P100" s="15" t="inlineStr">
        <is>
          <t>P2</t>
        </is>
      </c>
      <c r="Q100" s="4" t="inlineStr">
        <is>
          <t>P2</t>
        </is>
      </c>
      <c r="R100" s="4" t="inlineStr">
        <is>
          <t>N</t>
        </is>
      </c>
      <c r="S100" s="4" t="inlineStr">
        <is>
          <t>N</t>
        </is>
      </c>
      <c r="T100" s="4" t="inlineStr">
        <is>
          <t>N</t>
        </is>
      </c>
      <c r="U100" s="4" t="inlineStr">
        <is>
          <t>Query text + result attached to the report</t>
        </is>
      </c>
      <c r="V100" s="12" t="inlineStr">
        <is>
          <t>Blocked</t>
        </is>
      </c>
      <c r="W100" s="4" t="inlineStr"/>
      <c r="X100" s="4" t="inlineStr"/>
      <c r="Y100" s="4" t="inlineStr">
        <is>
          <t>Q04</t>
        </is>
      </c>
      <c r="Z100" s="4" t="inlineStr">
        <is>
          <t>No database engine, schema or credentials supplied (Submission 1 question Q04 / dependency D06). API-read proxy is used where the linked API scenario exists.</t>
        </is>
      </c>
      <c r="AA100" s="4" t="inlineStr">
        <is>
          <t>@regression @database @p2</t>
        </is>
      </c>
      <c r="AB100" s="15" t="inlineStr">
        <is>
          <t>Not automated</t>
        </is>
      </c>
      <c r="AC100" s="15" t="inlineStr">
        <is>
          <t>Not automated</t>
        </is>
      </c>
      <c r="AD100" s="15" t="inlineStr">
        <is>
          <t>Not automated</t>
        </is>
      </c>
      <c r="AE100" s="15" t="inlineStr">
        <is>
          <t>Not automated</t>
        </is>
      </c>
      <c r="AF100" s="15" t="inlineStr">
        <is>
          <t>Not automated</t>
        </is>
      </c>
      <c r="AG100" s="4" t="inlineStr"/>
    </row>
    <row r="101">
      <c r="A101" s="4" t="inlineStr">
        <is>
          <t>TC-DB-05</t>
        </is>
      </c>
      <c r="B101" s="4" t="inlineStr">
        <is>
          <t>Minor beneficiary has a linked guardian record</t>
        </is>
      </c>
      <c r="C101" s="4" t="inlineStr">
        <is>
          <t>Database Validation</t>
        </is>
      </c>
      <c r="D101" s="4" t="inlineStr">
        <is>
          <t>DB-05</t>
        </is>
      </c>
      <c r="E101" s="4" t="inlineStr">
        <is>
          <t>DB</t>
        </is>
      </c>
      <c r="F101" s="4" t="inlineStr">
        <is>
          <t>R25, R41</t>
        </is>
      </c>
      <c r="G101" s="4" t="inlineStr"/>
      <c r="H101" s="11" t="inlineStr"/>
      <c r="I101" s="4" t="inlineStr">
        <is>
          <t>Database</t>
        </is>
      </c>
      <c r="J101" s="4" t="inlineStr">
        <is>
          <t>DB</t>
        </is>
      </c>
      <c r="K101" s="4" t="inlineStr">
        <is>
          <t>Read-only database access granted (Q04); schema / data dictionary shared</t>
        </is>
      </c>
      <c r="L101" s="4" t="inlineStr">
        <is>
          <t>1. Run the UI or API scenario that creates the data
2. Run the read-only validation query for this check
3. Compare the result with the UI/API value</t>
        </is>
      </c>
      <c r="M101" s="4" t="inlineStr">
        <is>
          <t>Linked scenario(s): BEN-V05</t>
        </is>
      </c>
      <c r="N101" s="4" t="inlineStr">
        <is>
          <t>Query result matches the UI/API outcome (see the illustrative query pattern in Submission 1, section 3.4)</t>
        </is>
      </c>
      <c r="O101" s="14" t="inlineStr">
        <is>
          <t>High</t>
        </is>
      </c>
      <c r="P101" s="15" t="inlineStr">
        <is>
          <t>P2</t>
        </is>
      </c>
      <c r="Q101" s="4" t="inlineStr">
        <is>
          <t>P2</t>
        </is>
      </c>
      <c r="R101" s="4" t="inlineStr">
        <is>
          <t>N</t>
        </is>
      </c>
      <c r="S101" s="4" t="inlineStr">
        <is>
          <t>N</t>
        </is>
      </c>
      <c r="T101" s="4" t="inlineStr">
        <is>
          <t>N</t>
        </is>
      </c>
      <c r="U101" s="4" t="inlineStr">
        <is>
          <t>Query text + result attached to the report</t>
        </is>
      </c>
      <c r="V101" s="12" t="inlineStr">
        <is>
          <t>Blocked</t>
        </is>
      </c>
      <c r="W101" s="4" t="inlineStr"/>
      <c r="X101" s="4" t="inlineStr"/>
      <c r="Y101" s="4" t="inlineStr">
        <is>
          <t>Q04</t>
        </is>
      </c>
      <c r="Z101" s="4" t="inlineStr">
        <is>
          <t>No database engine, schema or credentials supplied (Submission 1 question Q04 / dependency D06). API-read proxy is used where the linked API scenario exists.</t>
        </is>
      </c>
      <c r="AA101" s="4" t="inlineStr">
        <is>
          <t>@regression @database @p2</t>
        </is>
      </c>
      <c r="AB101" s="15" t="inlineStr">
        <is>
          <t>Not automated</t>
        </is>
      </c>
      <c r="AC101" s="15" t="inlineStr">
        <is>
          <t>Not automated</t>
        </is>
      </c>
      <c r="AD101" s="15" t="inlineStr">
        <is>
          <t>Not automated</t>
        </is>
      </c>
      <c r="AE101" s="15" t="inlineStr">
        <is>
          <t>Not automated</t>
        </is>
      </c>
      <c r="AF101" s="15" t="inlineStr">
        <is>
          <t>Not automated</t>
        </is>
      </c>
      <c r="AG101" s="4" t="inlineStr"/>
    </row>
    <row r="102">
      <c r="A102" s="4" t="inlineStr">
        <is>
          <t>TC-DB-06</t>
        </is>
      </c>
      <c r="B102" s="4" t="inlineStr">
        <is>
          <t>Stored premium equals the premium on the review page, including itemized riders</t>
        </is>
      </c>
      <c r="C102" s="4" t="inlineStr">
        <is>
          <t>Database Validation</t>
        </is>
      </c>
      <c r="D102" s="4" t="inlineStr">
        <is>
          <t>DB-06</t>
        </is>
      </c>
      <c r="E102" s="4" t="inlineStr">
        <is>
          <t>DB</t>
        </is>
      </c>
      <c r="F102" s="4" t="inlineStr">
        <is>
          <t>R19, R41</t>
        </is>
      </c>
      <c r="G102" s="4" t="inlineStr"/>
      <c r="H102" s="11" t="inlineStr"/>
      <c r="I102" s="4" t="inlineStr">
        <is>
          <t>Database</t>
        </is>
      </c>
      <c r="J102" s="4" t="inlineStr">
        <is>
          <t>DB</t>
        </is>
      </c>
      <c r="K102" s="4" t="inlineStr">
        <is>
          <t>Read-only database access granted (Q04); schema / data dictionary shared</t>
        </is>
      </c>
      <c r="L102" s="4" t="inlineStr">
        <is>
          <t>1. Run the UI or API scenario that creates the data
2. Run the read-only validation query for this check
3. Compare the result with the UI/API value</t>
        </is>
      </c>
      <c r="M102" s="4" t="inlineStr">
        <is>
          <t>Linked scenario(s): PROD-V06, RIDER-V07</t>
        </is>
      </c>
      <c r="N102" s="4" t="inlineStr">
        <is>
          <t>Query result matches the UI/API outcome (see the illustrative query pattern in Submission 1, section 3.4)</t>
        </is>
      </c>
      <c r="O102" s="14" t="inlineStr">
        <is>
          <t>High</t>
        </is>
      </c>
      <c r="P102" s="15" t="inlineStr">
        <is>
          <t>P2</t>
        </is>
      </c>
      <c r="Q102" s="4" t="inlineStr">
        <is>
          <t>P2</t>
        </is>
      </c>
      <c r="R102" s="4" t="inlineStr">
        <is>
          <t>N</t>
        </is>
      </c>
      <c r="S102" s="4" t="inlineStr">
        <is>
          <t>N</t>
        </is>
      </c>
      <c r="T102" s="4" t="inlineStr">
        <is>
          <t>N</t>
        </is>
      </c>
      <c r="U102" s="4" t="inlineStr">
        <is>
          <t>Query text + result attached to the report</t>
        </is>
      </c>
      <c r="V102" s="12" t="inlineStr">
        <is>
          <t>Blocked</t>
        </is>
      </c>
      <c r="W102" s="4" t="inlineStr"/>
      <c r="X102" s="4" t="inlineStr"/>
      <c r="Y102" s="4" t="inlineStr">
        <is>
          <t>Q04</t>
        </is>
      </c>
      <c r="Z102" s="4" t="inlineStr">
        <is>
          <t>No database engine, schema or credentials supplied (Submission 1 question Q04 / dependency D06). API-read proxy is used where the linked API scenario exists.</t>
        </is>
      </c>
      <c r="AA102" s="4" t="inlineStr">
        <is>
          <t>@regression @database @p2</t>
        </is>
      </c>
      <c r="AB102" s="15" t="inlineStr">
        <is>
          <t>Not automated</t>
        </is>
      </c>
      <c r="AC102" s="15" t="inlineStr">
        <is>
          <t>Not automated</t>
        </is>
      </c>
      <c r="AD102" s="15" t="inlineStr">
        <is>
          <t>Not automated</t>
        </is>
      </c>
      <c r="AE102" s="15" t="inlineStr">
        <is>
          <t>Not automated</t>
        </is>
      </c>
      <c r="AF102" s="15" t="inlineStr">
        <is>
          <t>Not automated</t>
        </is>
      </c>
      <c r="AG102" s="4" t="inlineStr"/>
    </row>
    <row r="103">
      <c r="A103" s="4" t="inlineStr">
        <is>
          <t>TC-DB-07</t>
        </is>
      </c>
      <c r="B103" s="4" t="inlineStr">
        <is>
          <t>SSN is not stored or logged in clear text</t>
        </is>
      </c>
      <c r="C103" s="4" t="inlineStr">
        <is>
          <t>Database Validation</t>
        </is>
      </c>
      <c r="D103" s="4" t="inlineStr">
        <is>
          <t>DB-07</t>
        </is>
      </c>
      <c r="E103" s="4" t="inlineStr">
        <is>
          <t>DB</t>
        </is>
      </c>
      <c r="F103" s="4" t="inlineStr">
        <is>
          <t>R12, R41</t>
        </is>
      </c>
      <c r="G103" s="4" t="inlineStr"/>
      <c r="H103" s="11" t="inlineStr"/>
      <c r="I103" s="4" t="inlineStr">
        <is>
          <t>Database</t>
        </is>
      </c>
      <c r="J103" s="4" t="inlineStr">
        <is>
          <t>DB</t>
        </is>
      </c>
      <c r="K103" s="4" t="inlineStr">
        <is>
          <t>Read-only database access granted (Q04); schema / data dictionary shared</t>
        </is>
      </c>
      <c r="L103" s="4" t="inlineStr">
        <is>
          <t>1. Run the UI or API scenario that creates the data
2. Run the read-only validation query for this check
3. Compare the result with the UI/API value</t>
        </is>
      </c>
      <c r="M103" s="4" t="inlineStr">
        <is>
          <t>Linked scenario(s): CLI-V08</t>
        </is>
      </c>
      <c r="N103" s="4" t="inlineStr">
        <is>
          <t>Query result matches the UI/API outcome (see the illustrative query pattern in Submission 1, section 3.4)</t>
        </is>
      </c>
      <c r="O103" s="14" t="inlineStr">
        <is>
          <t>High</t>
        </is>
      </c>
      <c r="P103" s="15" t="inlineStr">
        <is>
          <t>P2</t>
        </is>
      </c>
      <c r="Q103" s="4" t="inlineStr">
        <is>
          <t>P2</t>
        </is>
      </c>
      <c r="R103" s="4" t="inlineStr">
        <is>
          <t>N</t>
        </is>
      </c>
      <c r="S103" s="4" t="inlineStr">
        <is>
          <t>N</t>
        </is>
      </c>
      <c r="T103" s="4" t="inlineStr">
        <is>
          <t>N</t>
        </is>
      </c>
      <c r="U103" s="4" t="inlineStr">
        <is>
          <t>Query text + result attached to the report</t>
        </is>
      </c>
      <c r="V103" s="12" t="inlineStr">
        <is>
          <t>Blocked</t>
        </is>
      </c>
      <c r="W103" s="4" t="inlineStr"/>
      <c r="X103" s="4" t="inlineStr"/>
      <c r="Y103" s="4" t="inlineStr">
        <is>
          <t>Q04</t>
        </is>
      </c>
      <c r="Z103" s="4" t="inlineStr">
        <is>
          <t>No database engine, schema or credentials supplied (Submission 1 question Q04 / dependency D06). API-read proxy is used where the linked API scenario exists.</t>
        </is>
      </c>
      <c r="AA103" s="4" t="inlineStr">
        <is>
          <t>@regression @database @p2</t>
        </is>
      </c>
      <c r="AB103" s="15" t="inlineStr">
        <is>
          <t>Not automated</t>
        </is>
      </c>
      <c r="AC103" s="15" t="inlineStr">
        <is>
          <t>Not automated</t>
        </is>
      </c>
      <c r="AD103" s="15" t="inlineStr">
        <is>
          <t>Not automated</t>
        </is>
      </c>
      <c r="AE103" s="15" t="inlineStr">
        <is>
          <t>Not automated</t>
        </is>
      </c>
      <c r="AF103" s="15" t="inlineStr">
        <is>
          <t>Not automated</t>
        </is>
      </c>
      <c r="AG103" s="4" t="inlineStr"/>
    </row>
    <row r="104">
      <c r="A104" s="4" t="inlineStr">
        <is>
          <t>TC-DB-08</t>
        </is>
      </c>
      <c r="B104" s="4" t="inlineStr">
        <is>
          <t>Document records exist with status for each mandatory document</t>
        </is>
      </c>
      <c r="C104" s="4" t="inlineStr">
        <is>
          <t>Database Validation</t>
        </is>
      </c>
      <c r="D104" s="4" t="inlineStr">
        <is>
          <t>DB-08</t>
        </is>
      </c>
      <c r="E104" s="4" t="inlineStr">
        <is>
          <t>DB</t>
        </is>
      </c>
      <c r="F104" s="4" t="inlineStr">
        <is>
          <t>R29, R41</t>
        </is>
      </c>
      <c r="G104" s="4" t="inlineStr"/>
      <c r="H104" s="11" t="inlineStr"/>
      <c r="I104" s="4" t="inlineStr">
        <is>
          <t>Database</t>
        </is>
      </c>
      <c r="J104" s="4" t="inlineStr">
        <is>
          <t>DB</t>
        </is>
      </c>
      <c r="K104" s="4" t="inlineStr">
        <is>
          <t>Read-only database access granted (Q04); schema / data dictionary shared</t>
        </is>
      </c>
      <c r="L104" s="4" t="inlineStr">
        <is>
          <t>1. Run the UI or API scenario that creates the data
2. Run the read-only validation query for this check
3. Compare the result with the UI/API value</t>
        </is>
      </c>
      <c r="M104" s="4" t="inlineStr">
        <is>
          <t>Linked scenario(s): DOC-V01, DOC-V04</t>
        </is>
      </c>
      <c r="N104" s="4" t="inlineStr">
        <is>
          <t>Query result matches the UI/API outcome (see the illustrative query pattern in Submission 1, section 3.4)</t>
        </is>
      </c>
      <c r="O104" s="14" t="inlineStr">
        <is>
          <t>High</t>
        </is>
      </c>
      <c r="P104" s="15" t="inlineStr">
        <is>
          <t>P2</t>
        </is>
      </c>
      <c r="Q104" s="4" t="inlineStr">
        <is>
          <t>P2</t>
        </is>
      </c>
      <c r="R104" s="4" t="inlineStr">
        <is>
          <t>N</t>
        </is>
      </c>
      <c r="S104" s="4" t="inlineStr">
        <is>
          <t>N</t>
        </is>
      </c>
      <c r="T104" s="4" t="inlineStr">
        <is>
          <t>N</t>
        </is>
      </c>
      <c r="U104" s="4" t="inlineStr">
        <is>
          <t>Query text + result attached to the report</t>
        </is>
      </c>
      <c r="V104" s="12" t="inlineStr">
        <is>
          <t>Blocked</t>
        </is>
      </c>
      <c r="W104" s="4" t="inlineStr"/>
      <c r="X104" s="4" t="inlineStr"/>
      <c r="Y104" s="4" t="inlineStr">
        <is>
          <t>Q04</t>
        </is>
      </c>
      <c r="Z104" s="4" t="inlineStr">
        <is>
          <t>No database engine, schema or credentials supplied (Submission 1 question Q04 / dependency D06). API-read proxy is used where the linked API scenario exists.</t>
        </is>
      </c>
      <c r="AA104" s="4" t="inlineStr">
        <is>
          <t>@regression @database @p2</t>
        </is>
      </c>
      <c r="AB104" s="15" t="inlineStr">
        <is>
          <t>Not automated</t>
        </is>
      </c>
      <c r="AC104" s="15" t="inlineStr">
        <is>
          <t>Not automated</t>
        </is>
      </c>
      <c r="AD104" s="15" t="inlineStr">
        <is>
          <t>Not automated</t>
        </is>
      </c>
      <c r="AE104" s="15" t="inlineStr">
        <is>
          <t>Not automated</t>
        </is>
      </c>
      <c r="AF104" s="15" t="inlineStr">
        <is>
          <t>Not automated</t>
        </is>
      </c>
      <c r="AG104" s="4" t="inlineStr"/>
    </row>
    <row r="105">
      <c r="A105" s="4" t="inlineStr">
        <is>
          <t>TC-DB-09</t>
        </is>
      </c>
      <c r="B105" s="4" t="inlineStr">
        <is>
          <t>Application rows are keyed to the owning agent</t>
        </is>
      </c>
      <c r="C105" s="4" t="inlineStr">
        <is>
          <t>Database Validation</t>
        </is>
      </c>
      <c r="D105" s="4" t="inlineStr">
        <is>
          <t>DB-09</t>
        </is>
      </c>
      <c r="E105" s="4" t="inlineStr">
        <is>
          <t>DB</t>
        </is>
      </c>
      <c r="F105" s="4" t="inlineStr">
        <is>
          <t>R08, R41</t>
        </is>
      </c>
      <c r="G105" s="4" t="inlineStr"/>
      <c r="H105" s="11" t="inlineStr"/>
      <c r="I105" s="4" t="inlineStr">
        <is>
          <t>Database</t>
        </is>
      </c>
      <c r="J105" s="4" t="inlineStr">
        <is>
          <t>DB</t>
        </is>
      </c>
      <c r="K105" s="4" t="inlineStr">
        <is>
          <t>Read-only database access granted (Q04); schema / data dictionary shared</t>
        </is>
      </c>
      <c r="L105" s="4" t="inlineStr">
        <is>
          <t>1. Run the UI or API scenario that creates the data
2. Run the read-only validation query for this check
3. Compare the result with the UI/API value</t>
        </is>
      </c>
      <c r="M105" s="4" t="inlineStr">
        <is>
          <t>Linked scenario(s): DASH-V02, API-V08</t>
        </is>
      </c>
      <c r="N105" s="4" t="inlineStr">
        <is>
          <t>Query result matches the UI/API outcome (see the illustrative query pattern in Submission 1, section 3.4)</t>
        </is>
      </c>
      <c r="O105" s="14" t="inlineStr">
        <is>
          <t>High</t>
        </is>
      </c>
      <c r="P105" s="15" t="inlineStr">
        <is>
          <t>P2</t>
        </is>
      </c>
      <c r="Q105" s="4" t="inlineStr">
        <is>
          <t>P2</t>
        </is>
      </c>
      <c r="R105" s="4" t="inlineStr">
        <is>
          <t>N</t>
        </is>
      </c>
      <c r="S105" s="4" t="inlineStr">
        <is>
          <t>N</t>
        </is>
      </c>
      <c r="T105" s="4" t="inlineStr">
        <is>
          <t>N</t>
        </is>
      </c>
      <c r="U105" s="4" t="inlineStr">
        <is>
          <t>Query text + result attached to the report</t>
        </is>
      </c>
      <c r="V105" s="12" t="inlineStr">
        <is>
          <t>Blocked</t>
        </is>
      </c>
      <c r="W105" s="4" t="inlineStr"/>
      <c r="X105" s="4" t="inlineStr"/>
      <c r="Y105" s="4" t="inlineStr">
        <is>
          <t>Q04</t>
        </is>
      </c>
      <c r="Z105" s="4" t="inlineStr">
        <is>
          <t>No database engine, schema or credentials supplied (Submission 1 question Q04 / dependency D06). API-read proxy is used where the linked API scenario exists.</t>
        </is>
      </c>
      <c r="AA105" s="4" t="inlineStr">
        <is>
          <t>@regression @database @p2</t>
        </is>
      </c>
      <c r="AB105" s="15" t="inlineStr">
        <is>
          <t>Not automated</t>
        </is>
      </c>
      <c r="AC105" s="15" t="inlineStr">
        <is>
          <t>Not automated</t>
        </is>
      </c>
      <c r="AD105" s="15" t="inlineStr">
        <is>
          <t>Not automated</t>
        </is>
      </c>
      <c r="AE105" s="15" t="inlineStr">
        <is>
          <t>Not automated</t>
        </is>
      </c>
      <c r="AF105" s="15" t="inlineStr">
        <is>
          <t>Not automated</t>
        </is>
      </c>
      <c r="AG105" s="4" t="inlineStr"/>
    </row>
    <row r="106">
      <c r="A106" s="4" t="inlineStr">
        <is>
          <t>TC-DB-10</t>
        </is>
      </c>
      <c r="B106" s="4" t="inlineStr">
        <is>
          <t>Failed-attempt counter and lock state update at the fifth failed login</t>
        </is>
      </c>
      <c r="C106" s="4" t="inlineStr">
        <is>
          <t>Database Validation</t>
        </is>
      </c>
      <c r="D106" s="4" t="inlineStr">
        <is>
          <t>DB-10</t>
        </is>
      </c>
      <c r="E106" s="4" t="inlineStr">
        <is>
          <t>DB</t>
        </is>
      </c>
      <c r="F106" s="4" t="inlineStr">
        <is>
          <t>R03, R41</t>
        </is>
      </c>
      <c r="G106" s="4" t="inlineStr"/>
      <c r="H106" s="11" t="inlineStr"/>
      <c r="I106" s="4" t="inlineStr">
        <is>
          <t>Database</t>
        </is>
      </c>
      <c r="J106" s="4" t="inlineStr">
        <is>
          <t>DB</t>
        </is>
      </c>
      <c r="K106" s="4" t="inlineStr">
        <is>
          <t>Read-only database access granted (Q04); schema / data dictionary shared</t>
        </is>
      </c>
      <c r="L106" s="4" t="inlineStr">
        <is>
          <t>1. Run the UI or API scenario that creates the data
2. Run the read-only validation query for this check
3. Compare the result with the UI/API value</t>
        </is>
      </c>
      <c r="M106" s="4" t="inlineStr">
        <is>
          <t>Linked scenario(s): AUTH-V07</t>
        </is>
      </c>
      <c r="N106" s="4" t="inlineStr">
        <is>
          <t>Query result matches the UI/API outcome (see the illustrative query pattern in Submission 1, section 3.4)</t>
        </is>
      </c>
      <c r="O106" s="14" t="inlineStr">
        <is>
          <t>High</t>
        </is>
      </c>
      <c r="P106" s="15" t="inlineStr">
        <is>
          <t>P2</t>
        </is>
      </c>
      <c r="Q106" s="4" t="inlineStr">
        <is>
          <t>P2</t>
        </is>
      </c>
      <c r="R106" s="4" t="inlineStr">
        <is>
          <t>N</t>
        </is>
      </c>
      <c r="S106" s="4" t="inlineStr">
        <is>
          <t>N</t>
        </is>
      </c>
      <c r="T106" s="4" t="inlineStr">
        <is>
          <t>N</t>
        </is>
      </c>
      <c r="U106" s="4" t="inlineStr">
        <is>
          <t>Query text + result attached to the report</t>
        </is>
      </c>
      <c r="V106" s="12" t="inlineStr">
        <is>
          <t>Blocked</t>
        </is>
      </c>
      <c r="W106" s="4" t="inlineStr"/>
      <c r="X106" s="4" t="inlineStr"/>
      <c r="Y106" s="4" t="inlineStr">
        <is>
          <t>Q04</t>
        </is>
      </c>
      <c r="Z106" s="4" t="inlineStr">
        <is>
          <t>No database engine, schema or credentials supplied (Submission 1 question Q04 / dependency D06). API-read proxy is used where the linked API scenario exists.</t>
        </is>
      </c>
      <c r="AA106" s="4" t="inlineStr">
        <is>
          <t>@regression @database @p2</t>
        </is>
      </c>
      <c r="AB106" s="15" t="inlineStr">
        <is>
          <t>Not automated</t>
        </is>
      </c>
      <c r="AC106" s="15" t="inlineStr">
        <is>
          <t>Not automated</t>
        </is>
      </c>
      <c r="AD106" s="15" t="inlineStr">
        <is>
          <t>Not automated</t>
        </is>
      </c>
      <c r="AE106" s="15" t="inlineStr">
        <is>
          <t>Not automated</t>
        </is>
      </c>
      <c r="AF106" s="15" t="inlineStr">
        <is>
          <t>Not automated</t>
        </is>
      </c>
      <c r="AG106" s="4" t="inlineStr"/>
    </row>
    <row r="107">
      <c r="A107" s="4" t="inlineStr">
        <is>
          <t>TC-FW-01</t>
        </is>
      </c>
      <c r="B107" s="4" t="inlineStr">
        <is>
          <t>Evidence: diagnostics, screenshots, traces and videos are configured for debugging</t>
        </is>
      </c>
      <c r="C107" s="4" t="inlineStr">
        <is>
          <t>Framework Self-Checks</t>
        </is>
      </c>
      <c r="D107" s="4" t="inlineStr">
        <is>
          <t>FW-01</t>
        </is>
      </c>
      <c r="E107" s="4" t="inlineStr">
        <is>
          <t>FW</t>
        </is>
      </c>
      <c r="F107" s="4" t="inlineStr">
        <is>
          <t>R38</t>
        </is>
      </c>
      <c r="G107" s="4" t="inlineStr">
        <is>
          <t>RI-20: Failures hard to debug (no consistent evidence)</t>
        </is>
      </c>
      <c r="H107" s="11" t="inlineStr"/>
      <c r="I107" s="4" t="inlineStr">
        <is>
          <t>Framework</t>
        </is>
      </c>
      <c r="J107" s="4" t="inlineStr">
        <is>
          <t>Framework</t>
        </is>
      </c>
      <c r="K107" s="4" t="inlineStr">
        <is>
          <t>None - runs without the application</t>
        </is>
      </c>
      <c r="L107" s="4" t="inlineStr">
        <is>
          <t>1. Load playwright.config.js
2. Assert screenshot, video, trace, HTML/JSON/JUnit reporters are enabled
3. Assert the diagnostics fixture is registered as an automatic fixture</t>
        </is>
      </c>
      <c r="M107" s="4" t="inlineStr">
        <is>
          <t>none</t>
        </is>
      </c>
      <c r="N107" s="4" t="inlineStr">
        <is>
          <t>All evidence settings are present</t>
        </is>
      </c>
      <c r="O107" s="16" t="inlineStr">
        <is>
          <t>Medium</t>
        </is>
      </c>
      <c r="P107" s="15" t="inlineStr">
        <is>
          <t>P2</t>
        </is>
      </c>
      <c r="Q107" s="4" t="inlineStr">
        <is>
          <t>P1</t>
        </is>
      </c>
      <c r="R107" s="4" t="inlineStr">
        <is>
          <t>N</t>
        </is>
      </c>
      <c r="S107" s="4" t="inlineStr">
        <is>
          <t>N</t>
        </is>
      </c>
      <c r="T107" s="4" t="inlineStr">
        <is>
          <t>N</t>
        </is>
      </c>
      <c r="U107" s="4" t="inlineStr">
        <is>
          <t>Unit test output</t>
        </is>
      </c>
      <c r="V107" s="13" t="inlineStr">
        <is>
          <t>Automated</t>
        </is>
      </c>
      <c r="W107" s="4" t="inlineStr">
        <is>
          <t>tests/unit/framework.spec.js</t>
        </is>
      </c>
      <c r="X107" s="4" t="inlineStr"/>
      <c r="Y107" s="4" t="inlineStr"/>
      <c r="Z107" s="4" t="inlineStr"/>
      <c r="AA107" s="4" t="inlineStr">
        <is>
          <t>@regression @framework @p2 @seeded</t>
        </is>
      </c>
      <c r="AB107" s="15" t="inlineStr">
        <is>
          <t>Not in smoke scope</t>
        </is>
      </c>
      <c r="AC107" s="13" t="inlineStr">
        <is>
          <t>Passed</t>
        </is>
      </c>
      <c r="AD107" s="15" t="inlineStr">
        <is>
          <t>Not in smoke scope</t>
        </is>
      </c>
      <c r="AE107" s="15" t="inlineStr">
        <is>
          <t>Not in smoke scope</t>
        </is>
      </c>
      <c r="AF107" s="15" t="inlineStr">
        <is>
          <t>Not in smoke scope</t>
        </is>
      </c>
      <c r="AG107" s="4" t="inlineStr"/>
    </row>
    <row r="108">
      <c r="A108" s="4" t="inlineStr">
        <is>
          <t>TC-FW-02</t>
        </is>
      </c>
      <c r="B108" s="4" t="inlineStr">
        <is>
          <t>Environment: configuration is externalised and the health check classifies failures</t>
        </is>
      </c>
      <c r="C108" s="4" t="inlineStr">
        <is>
          <t>Framework Self-Checks</t>
        </is>
      </c>
      <c r="D108" s="4" t="inlineStr">
        <is>
          <t>FW-02</t>
        </is>
      </c>
      <c r="E108" s="4" t="inlineStr">
        <is>
          <t>FW</t>
        </is>
      </c>
      <c r="F108" s="4" t="inlineStr">
        <is>
          <t>R39</t>
        </is>
      </c>
      <c r="G108" s="4" t="inlineStr"/>
      <c r="H108" s="11" t="inlineStr"/>
      <c r="I108" s="4" t="inlineStr">
        <is>
          <t>Framework</t>
        </is>
      </c>
      <c r="J108" s="4" t="inlineStr">
        <is>
          <t>Framework</t>
        </is>
      </c>
      <c r="K108" s="4" t="inlineStr">
        <is>
          <t>None - runs without the application</t>
        </is>
      </c>
      <c r="L108" s="4" t="inlineStr">
        <is>
          <t>1. Scan the repository for hard-coded URLs, IPs and credentials outside config / .env.example
2. Check the health-check classifier maps timeouts and 5xx to ENVIRONMENT</t>
        </is>
      </c>
      <c r="M108" s="4" t="inlineStr">
        <is>
          <t>none</t>
        </is>
      </c>
      <c r="N108" s="4" t="inlineStr">
        <is>
          <t>No hard-coded base URL, IP address or password outside the config layer; failures are classified as ENVIRONMENT vs APPLICATION</t>
        </is>
      </c>
      <c r="O108" s="16" t="inlineStr">
        <is>
          <t>Medium</t>
        </is>
      </c>
      <c r="P108" s="15" t="inlineStr">
        <is>
          <t>P2</t>
        </is>
      </c>
      <c r="Q108" s="4" t="inlineStr">
        <is>
          <t>P1</t>
        </is>
      </c>
      <c r="R108" s="4" t="inlineStr">
        <is>
          <t>N</t>
        </is>
      </c>
      <c r="S108" s="4" t="inlineStr">
        <is>
          <t>N</t>
        </is>
      </c>
      <c r="T108" s="4" t="inlineStr">
        <is>
          <t>N</t>
        </is>
      </c>
      <c r="U108" s="4" t="inlineStr">
        <is>
          <t>Unit test output</t>
        </is>
      </c>
      <c r="V108" s="13" t="inlineStr">
        <is>
          <t>Automated</t>
        </is>
      </c>
      <c r="W108" s="4" t="inlineStr">
        <is>
          <t>tests/unit/framework.spec.js</t>
        </is>
      </c>
      <c r="X108" s="4" t="inlineStr"/>
      <c r="Y108" s="4" t="inlineStr"/>
      <c r="Z108" s="4" t="inlineStr"/>
      <c r="AA108" s="4" t="inlineStr">
        <is>
          <t>@regression @framework @p2</t>
        </is>
      </c>
      <c r="AB108" s="15" t="inlineStr">
        <is>
          <t>Not in smoke scope</t>
        </is>
      </c>
      <c r="AC108" s="13" t="inlineStr">
        <is>
          <t>Passed</t>
        </is>
      </c>
      <c r="AD108" s="15" t="inlineStr">
        <is>
          <t>Not in smoke scope</t>
        </is>
      </c>
      <c r="AE108" s="15" t="inlineStr">
        <is>
          <t>Not in smoke scope</t>
        </is>
      </c>
      <c r="AF108" s="15" t="inlineStr">
        <is>
          <t>Not in smoke scope</t>
        </is>
      </c>
      <c r="AG108" s="4" t="inlineStr"/>
    </row>
    <row r="109">
      <c r="A109" s="4" t="inlineStr">
        <is>
          <t>TC-FW-03</t>
        </is>
      </c>
      <c r="B109" s="4" t="inlineStr">
        <is>
          <t>Test data: builders are unique per call and date boundaries are calculated correctly</t>
        </is>
      </c>
      <c r="C109" s="4" t="inlineStr">
        <is>
          <t>Framework Self-Checks</t>
        </is>
      </c>
      <c r="D109" s="4" t="inlineStr">
        <is>
          <t>FW-03</t>
        </is>
      </c>
      <c r="E109" s="4" t="inlineStr">
        <is>
          <t>FW</t>
        </is>
      </c>
      <c r="F109" s="4" t="inlineStr">
        <is>
          <t>R40</t>
        </is>
      </c>
      <c r="G109" s="4" t="inlineStr"/>
      <c r="H109" s="11" t="inlineStr"/>
      <c r="I109" s="4" t="inlineStr">
        <is>
          <t>Framework</t>
        </is>
      </c>
      <c r="J109" s="4" t="inlineStr">
        <is>
          <t>Framework</t>
        </is>
      </c>
      <c r="K109" s="4" t="inlineStr">
        <is>
          <t>None - runs without the application</t>
        </is>
      </c>
      <c r="L109" s="4" t="inlineStr">
        <is>
          <t>1. Generate 500 clients and beneficiaries and check name uniqueness
2. Check dobForAge / calcAge for ages 17/18/65/66, leap years and the day-before/after birthday</t>
        </is>
      </c>
      <c r="M109" s="4" t="inlineStr">
        <is>
          <t>none</t>
        </is>
      </c>
      <c r="N109" s="4" t="inlineStr">
        <is>
          <t>No duplicates; boundary dates produce exactly the intended ages</t>
        </is>
      </c>
      <c r="O109" s="16" t="inlineStr">
        <is>
          <t>Medium</t>
        </is>
      </c>
      <c r="P109" s="15" t="inlineStr">
        <is>
          <t>P2</t>
        </is>
      </c>
      <c r="Q109" s="4" t="inlineStr">
        <is>
          <t>P1</t>
        </is>
      </c>
      <c r="R109" s="4" t="inlineStr">
        <is>
          <t>N</t>
        </is>
      </c>
      <c r="S109" s="4" t="inlineStr">
        <is>
          <t>N</t>
        </is>
      </c>
      <c r="T109" s="4" t="inlineStr">
        <is>
          <t>N</t>
        </is>
      </c>
      <c r="U109" s="4" t="inlineStr">
        <is>
          <t>Unit test output</t>
        </is>
      </c>
      <c r="V109" s="13" t="inlineStr">
        <is>
          <t>Automated</t>
        </is>
      </c>
      <c r="W109" s="4" t="inlineStr">
        <is>
          <t>tests/unit/framework.spec.js</t>
        </is>
      </c>
      <c r="X109" s="4" t="inlineStr"/>
      <c r="Y109" s="4" t="inlineStr"/>
      <c r="Z109" s="4" t="inlineStr"/>
      <c r="AA109" s="4" t="inlineStr">
        <is>
          <t>@regression @framework @p2</t>
        </is>
      </c>
      <c r="AB109" s="15" t="inlineStr">
        <is>
          <t>Not in smoke scope</t>
        </is>
      </c>
      <c r="AC109" s="13" t="inlineStr">
        <is>
          <t>Passed</t>
        </is>
      </c>
      <c r="AD109" s="15" t="inlineStr">
        <is>
          <t>Not in smoke scope</t>
        </is>
      </c>
      <c r="AE109" s="15" t="inlineStr">
        <is>
          <t>Not in smoke scope</t>
        </is>
      </c>
      <c r="AF109" s="15" t="inlineStr">
        <is>
          <t>Not in smoke scope</t>
        </is>
      </c>
      <c r="AG109" s="4" t="inlineStr"/>
    </row>
    <row r="110">
      <c r="A110" s="4" t="inlineStr">
        <is>
          <t>TC-FW-04</t>
        </is>
      </c>
      <c r="B110" s="4" t="inlineStr">
        <is>
          <t>Traceability: every automated test maps to a case; every case maps to a risk</t>
        </is>
      </c>
      <c r="C110" s="4" t="inlineStr">
        <is>
          <t>Framework Self-Checks</t>
        </is>
      </c>
      <c r="D110" s="4" t="inlineStr">
        <is>
          <t>FW-04</t>
        </is>
      </c>
      <c r="E110" s="4" t="inlineStr">
        <is>
          <t>FW</t>
        </is>
      </c>
      <c r="F110" s="4" t="inlineStr">
        <is>
          <t>R39</t>
        </is>
      </c>
      <c r="G110" s="4" t="inlineStr"/>
      <c r="H110" s="11" t="inlineStr"/>
      <c r="I110" s="4" t="inlineStr">
        <is>
          <t>Framework</t>
        </is>
      </c>
      <c r="J110" s="4" t="inlineStr">
        <is>
          <t>Framework</t>
        </is>
      </c>
      <c r="K110" s="4" t="inlineStr">
        <is>
          <t>None - runs without the application</t>
        </is>
      </c>
      <c r="L110" s="4" t="inlineStr">
        <is>
          <t>1. Load the case registry and the risk register
2. Check each non-framework case links to at least one risk
3. Check reported issues RI-01..RI-20 each link to at least one case</t>
        </is>
      </c>
      <c r="M110" s="4" t="inlineStr">
        <is>
          <t>none</t>
        </is>
      </c>
      <c r="N110" s="4" t="inlineStr">
        <is>
          <t>No orphan cases, risks or reported issues</t>
        </is>
      </c>
      <c r="O110" s="16" t="inlineStr">
        <is>
          <t>Medium</t>
        </is>
      </c>
      <c r="P110" s="15" t="inlineStr">
        <is>
          <t>P2</t>
        </is>
      </c>
      <c r="Q110" s="4" t="inlineStr">
        <is>
          <t>P1</t>
        </is>
      </c>
      <c r="R110" s="4" t="inlineStr">
        <is>
          <t>N</t>
        </is>
      </c>
      <c r="S110" s="4" t="inlineStr">
        <is>
          <t>N</t>
        </is>
      </c>
      <c r="T110" s="4" t="inlineStr">
        <is>
          <t>N</t>
        </is>
      </c>
      <c r="U110" s="4" t="inlineStr">
        <is>
          <t>Unit test output</t>
        </is>
      </c>
      <c r="V110" s="13" t="inlineStr">
        <is>
          <t>Automated</t>
        </is>
      </c>
      <c r="W110" s="4" t="inlineStr">
        <is>
          <t>tests/unit/framework.spec.js</t>
        </is>
      </c>
      <c r="X110" s="4" t="inlineStr"/>
      <c r="Y110" s="4" t="inlineStr"/>
      <c r="Z110" s="4" t="inlineStr"/>
      <c r="AA110" s="4" t="inlineStr">
        <is>
          <t>@regression @framework @p2</t>
        </is>
      </c>
      <c r="AB110" s="15" t="inlineStr">
        <is>
          <t>Not in smoke scope</t>
        </is>
      </c>
      <c r="AC110" s="13" t="inlineStr">
        <is>
          <t>Passed</t>
        </is>
      </c>
      <c r="AD110" s="15" t="inlineStr">
        <is>
          <t>Not in smoke scope</t>
        </is>
      </c>
      <c r="AE110" s="15" t="inlineStr">
        <is>
          <t>Not in smoke scope</t>
        </is>
      </c>
      <c r="AF110" s="15" t="inlineStr">
        <is>
          <t>Not in smoke scope</t>
        </is>
      </c>
      <c r="AG110" s="4" t="inlineStr"/>
    </row>
  </sheetData>
  <autoFilter ref="A4:AG110"/>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F27"/>
  <sheetViews>
    <sheetView showGridLines="0" workbookViewId="0">
      <selection activeCell="A1" sqref="A1"/>
    </sheetView>
  </sheetViews>
  <sheetFormatPr baseColWidth="8" defaultRowHeight="15"/>
  <cols>
    <col width="14" customWidth="1" min="1" max="1"/>
    <col width="48" customWidth="1" min="2" max="2"/>
    <col width="56" customWidth="1" min="3" max="3"/>
    <col width="12" customWidth="1" min="4" max="4"/>
    <col width="14" customWidth="1" min="5" max="5"/>
    <col width="18" customWidth="1" min="6" max="6"/>
  </cols>
  <sheetData>
    <row r="1">
      <c r="A1" s="1" t="inlineStr">
        <is>
          <t>Release Gate (P1) - the scenarios that MUST pass for a release</t>
        </is>
      </c>
    </row>
    <row r="2">
      <c r="A2" s="2" t="inlineStr">
        <is>
          <t>Submission 1 rated 52 of 105 scenarios P1. P1 is now limited to these. Everything else is regression (P2) or P3. Run: npm run test:gate</t>
        </is>
      </c>
    </row>
    <row r="4" ht="32" customHeight="1">
      <c r="A4" s="3" t="inlineStr">
        <is>
          <t>Test Case ID</t>
        </is>
      </c>
      <c r="B4" s="3" t="inlineStr">
        <is>
          <t>Title</t>
        </is>
      </c>
      <c r="C4" s="3" t="inlineStr">
        <is>
          <t>Why a failure blocks the release</t>
        </is>
      </c>
      <c r="D4" s="3" t="inlineStr">
        <is>
          <t>Layer</t>
        </is>
      </c>
      <c r="E4" s="3" t="inlineStr">
        <is>
          <t>Automation Status</t>
        </is>
      </c>
      <c r="F4" s="3" t="inlineStr">
        <is>
          <t>Linked Risks</t>
        </is>
      </c>
    </row>
    <row r="5">
      <c r="A5" s="4" t="inlineStr">
        <is>
          <t>TC-AUTH-V01</t>
        </is>
      </c>
      <c r="B5" s="4" t="inlineStr">
        <is>
          <t>Valid agent logs in and lands on their draft application (BR-AUTH-010)</t>
        </is>
      </c>
      <c r="C5" s="4" t="inlineStr">
        <is>
          <t>If valid agents cannot sign in, nothing else is usable.</t>
        </is>
      </c>
      <c r="D5" s="4" t="inlineStr">
        <is>
          <t>UI</t>
        </is>
      </c>
      <c r="E5" s="4" t="inlineStr">
        <is>
          <t>Automated</t>
        </is>
      </c>
      <c r="F5" s="4" t="inlineStr">
        <is>
          <t>R01</t>
        </is>
      </c>
    </row>
    <row r="6">
      <c r="A6" s="4" t="inlineStr">
        <is>
          <t>TC-AUTH-V05</t>
        </is>
      </c>
      <c r="B6" s="4" t="inlineStr">
        <is>
          <t>Direct /dashboard access without login is blocked</t>
        </is>
      </c>
      <c r="C6" s="4" t="inlineStr">
        <is>
          <t>Protected pages must not be reachable without a session.</t>
        </is>
      </c>
      <c r="D6" s="4" t="inlineStr">
        <is>
          <t>UI</t>
        </is>
      </c>
      <c r="E6" s="4" t="inlineStr">
        <is>
          <t>Automated</t>
        </is>
      </c>
      <c r="F6" s="4" t="inlineStr">
        <is>
          <t>R04</t>
        </is>
      </c>
    </row>
    <row r="7">
      <c r="A7" s="4" t="inlineStr">
        <is>
          <t>TC-AUTH-V06</t>
        </is>
      </c>
      <c r="B7" s="4" t="inlineStr">
        <is>
          <t>Locked user cannot access dashboard; lock message shown</t>
        </is>
      </c>
      <c r="C7" s="4" t="inlineStr">
        <is>
          <t>Locked agents must stay locked out, with the correct message.</t>
        </is>
      </c>
      <c r="D7" s="4" t="inlineStr">
        <is>
          <t>UI</t>
        </is>
      </c>
      <c r="E7" s="4" t="inlineStr">
        <is>
          <t>Automated</t>
        </is>
      </c>
      <c r="F7" s="4" t="inlineStr">
        <is>
          <t>R02</t>
        </is>
      </c>
    </row>
    <row r="8">
      <c r="A8" s="4" t="inlineStr">
        <is>
          <t>TC-DASH-V02</t>
        </is>
      </c>
      <c r="B8" s="4" t="inlineStr">
        <is>
          <t>Agent sees only own applications (multi-agent isolation)</t>
        </is>
      </c>
      <c r="C8" s="4" t="inlineStr">
        <is>
          <t>An agent must never see another agent's applications (confidentiality).</t>
        </is>
      </c>
      <c r="D8" s="4" t="inlineStr">
        <is>
          <t>UI + API</t>
        </is>
      </c>
      <c r="E8" s="4" t="inlineStr">
        <is>
          <t>Automated</t>
        </is>
      </c>
      <c r="F8" s="4" t="inlineStr">
        <is>
          <t>R08</t>
        </is>
      </c>
    </row>
    <row r="9">
      <c r="A9" s="4" t="inlineStr">
        <is>
          <t>TC-CLI-V05</t>
        </is>
      </c>
      <c r="B9" s="4" t="inlineStr">
        <is>
          <t>Future DOB rejected</t>
        </is>
      </c>
      <c r="C9" s="4" t="inlineStr">
        <is>
          <t>A future date of birth would create an invalid policy.</t>
        </is>
      </c>
      <c r="D9" s="4" t="inlineStr">
        <is>
          <t>UI + API</t>
        </is>
      </c>
      <c r="E9" s="4" t="inlineStr">
        <is>
          <t>Automated</t>
        </is>
      </c>
      <c r="F9" s="4" t="inlineStr">
        <is>
          <t>R11</t>
        </is>
      </c>
    </row>
    <row r="10">
      <c r="A10" s="4" t="inlineStr">
        <is>
          <t>TC-CLI-V08</t>
        </is>
      </c>
      <c r="B10" s="4" t="inlineStr">
        <is>
          <t>SSN masked after entry (only last four digits visible)</t>
        </is>
      </c>
      <c r="C10" s="4" t="inlineStr">
        <is>
          <t>Unmasked SSN is a compliance / privacy breach.</t>
        </is>
      </c>
      <c r="D10" s="4" t="inlineStr">
        <is>
          <t>UI</t>
        </is>
      </c>
      <c r="E10" s="4" t="inlineStr">
        <is>
          <t>Automated</t>
        </is>
      </c>
      <c r="F10" s="4" t="inlineStr">
        <is>
          <t>R12</t>
        </is>
      </c>
    </row>
    <row r="11">
      <c r="A11" s="4" t="inlineStr">
        <is>
          <t>TC-PROD-V01</t>
        </is>
      </c>
      <c r="B11" s="4" t="inlineStr">
        <is>
          <t>Catalog displays expected Whole Life products</t>
        </is>
      </c>
      <c r="C11" s="4" t="inlineStr">
        <is>
          <t>Agents cannot sell if the product catalogue does not load.</t>
        </is>
      </c>
      <c r="D11" s="4" t="inlineStr">
        <is>
          <t>UI</t>
        </is>
      </c>
      <c r="E11" s="4" t="inlineStr">
        <is>
          <t>Automated</t>
        </is>
      </c>
      <c r="F11" s="4" t="inlineStr">
        <is>
          <t>R16</t>
        </is>
      </c>
    </row>
    <row r="12">
      <c r="A12" s="4" t="inlineStr">
        <is>
          <t>TC-PROD-V05</t>
        </is>
      </c>
      <c r="B12" s="4" t="inlineStr">
        <is>
          <t>Premium recalculates when frequency changes</t>
        </is>
      </c>
      <c r="C12" s="4" t="inlineStr">
        <is>
          <t>Wrong premium after a configuration change misprices the policy.</t>
        </is>
      </c>
      <c r="D12" s="4" t="inlineStr">
        <is>
          <t>UI + API</t>
        </is>
      </c>
      <c r="E12" s="4" t="inlineStr">
        <is>
          <t>Automated</t>
        </is>
      </c>
      <c r="F12" s="4" t="inlineStr">
        <is>
          <t>R18</t>
        </is>
      </c>
    </row>
    <row r="13">
      <c r="A13" s="4" t="inlineStr">
        <is>
          <t>TC-PROD-V06</t>
        </is>
      </c>
      <c r="B13" s="4" t="inlineStr">
        <is>
          <t>Review-page premium matches configuration page</t>
        </is>
      </c>
      <c r="C13" s="4" t="inlineStr">
        <is>
          <t>Premium on review must equal what the agent configured.</t>
        </is>
      </c>
      <c r="D13" s="4" t="inlineStr">
        <is>
          <t>UI + DB</t>
        </is>
      </c>
      <c r="E13" s="4" t="inlineStr">
        <is>
          <t>Automated</t>
        </is>
      </c>
      <c r="F13" s="4" t="inlineStr">
        <is>
          <t>R18, R19</t>
        </is>
      </c>
    </row>
    <row r="14">
      <c r="A14" s="4" t="inlineStr">
        <is>
          <t>TC-RIDER-V02</t>
        </is>
      </c>
      <c r="B14" s="4" t="inlineStr">
        <is>
          <t>Rider coverage cannot exceed base face value</t>
        </is>
      </c>
      <c r="C14" s="4" t="inlineStr">
        <is>
          <t>Rider cover above the base face value is an invalid coverage.</t>
        </is>
      </c>
      <c r="D14" s="4" t="inlineStr">
        <is>
          <t>UI + API</t>
        </is>
      </c>
      <c r="E14" s="4" t="inlineStr">
        <is>
          <t>Automated</t>
        </is>
      </c>
      <c r="F14" s="4" t="inlineStr">
        <is>
          <t>R20</t>
        </is>
      </c>
    </row>
    <row r="15">
      <c r="A15" s="4" t="inlineStr">
        <is>
          <t>TC-BEN-V02</t>
        </is>
      </c>
      <c r="B15" s="4" t="inlineStr">
        <is>
          <t>Primary allocation below 100% blocks progression</t>
        </is>
      </c>
      <c r="C15" s="4" t="inlineStr">
        <is>
          <t>Allocations must total 100% or payouts are disputed.</t>
        </is>
      </c>
      <c r="D15" s="4" t="inlineStr">
        <is>
          <t>UI + API + DB</t>
        </is>
      </c>
      <c r="E15" s="4" t="inlineStr">
        <is>
          <t>Automated</t>
        </is>
      </c>
      <c r="F15" s="4" t="inlineStr">
        <is>
          <t>R24</t>
        </is>
      </c>
    </row>
    <row r="16">
      <c r="A16" s="4" t="inlineStr">
        <is>
          <t>TC-BEN-V05</t>
        </is>
      </c>
      <c r="B16" s="4" t="inlineStr">
        <is>
          <t>Minor beneficiary requires guardian details</t>
        </is>
      </c>
      <c r="C16" s="4" t="inlineStr">
        <is>
          <t>A minor beneficiary without a guardian is a legal gap.</t>
        </is>
      </c>
      <c r="D16" s="4" t="inlineStr">
        <is>
          <t>UI + API + DB</t>
        </is>
      </c>
      <c r="E16" s="4" t="inlineStr">
        <is>
          <t>Automated</t>
        </is>
      </c>
      <c r="F16" s="4" t="inlineStr">
        <is>
          <t>R25</t>
        </is>
      </c>
    </row>
    <row r="17">
      <c r="A17" s="4" t="inlineStr">
        <is>
          <t>TC-DOC-V04</t>
        </is>
      </c>
      <c r="B17" s="4" t="inlineStr">
        <is>
          <t>Missing mandatory document blocks submission</t>
        </is>
      </c>
      <c r="C17" s="4" t="inlineStr">
        <is>
          <t>Missing mandatory KYC documents must block submission (compliance).</t>
        </is>
      </c>
      <c r="D17" s="4" t="inlineStr">
        <is>
          <t>UI + API + DB</t>
        </is>
      </c>
      <c r="E17" s="4" t="inlineStr">
        <is>
          <t>Automated</t>
        </is>
      </c>
      <c r="F17" s="4" t="inlineStr">
        <is>
          <t>R29</t>
        </is>
      </c>
    </row>
    <row r="18">
      <c r="A18" s="4" t="inlineStr">
        <is>
          <t>TC-VAL-V03</t>
        </is>
      </c>
      <c r="B18" s="4" t="inlineStr">
        <is>
          <t>Submit stays disabled until critical errors are resolved</t>
        </is>
      </c>
      <c r="C18" s="4" t="inlineStr">
        <is>
          <t>Submit must be blocked while validation errors exist.</t>
        </is>
      </c>
      <c r="D18" s="4" t="inlineStr">
        <is>
          <t>UI</t>
        </is>
      </c>
      <c r="E18" s="4" t="inlineStr">
        <is>
          <t>Automated</t>
        </is>
      </c>
      <c r="F18" s="4" t="inlineStr">
        <is>
          <t>R31</t>
        </is>
      </c>
    </row>
    <row r="19">
      <c r="A19" s="4" t="inlineStr">
        <is>
          <t>TC-WF-V01</t>
        </is>
      </c>
      <c r="B19" s="4" t="inlineStr">
        <is>
          <t>Partial application saved as draft; draft row on dashboard</t>
        </is>
      </c>
      <c r="C19" s="4" t="inlineStr">
        <is>
          <t>Agents must not lose work: drafts must save.</t>
        </is>
      </c>
      <c r="D19" s="4" t="inlineStr">
        <is>
          <t>UI</t>
        </is>
      </c>
      <c r="E19" s="4" t="inlineStr">
        <is>
          <t>Automated</t>
        </is>
      </c>
      <c r="F19" s="4" t="inlineStr">
        <is>
          <t>R33</t>
        </is>
      </c>
    </row>
    <row r="20">
      <c r="A20" s="4" t="inlineStr">
        <is>
          <t>TC-WF-V03</t>
        </is>
      </c>
      <c r="B20" s="4" t="inlineStr">
        <is>
          <t>Full E2E: valid application submitted; reference number shown</t>
        </is>
      </c>
      <c r="C20" s="4" t="inlineStr">
        <is>
          <t>The core journey must complete and return a reference number.</t>
        </is>
      </c>
      <c r="D20" s="4" t="inlineStr">
        <is>
          <t>UI + API + DB</t>
        </is>
      </c>
      <c r="E20" s="4" t="inlineStr">
        <is>
          <t>Automated</t>
        </is>
      </c>
      <c r="F20" s="4" t="inlineStr">
        <is>
          <t>R34</t>
        </is>
      </c>
    </row>
    <row r="21">
      <c r="A21" s="4" t="inlineStr">
        <is>
          <t>TC-WF-V06</t>
        </is>
      </c>
      <c r="B21" s="4" t="inlineStr">
        <is>
          <t>Dashboard status becomes Submitted after submission</t>
        </is>
      </c>
      <c r="C21" s="4" t="inlineStr">
        <is>
          <t>Dashboard status must reflect the submission.</t>
        </is>
      </c>
      <c r="D21" s="4" t="inlineStr">
        <is>
          <t>UI + API + DB</t>
        </is>
      </c>
      <c r="E21" s="4" t="inlineStr">
        <is>
          <t>Automated</t>
        </is>
      </c>
      <c r="F21" s="4" t="inlineStr">
        <is>
          <t>R07, R34</t>
        </is>
      </c>
    </row>
    <row r="22">
      <c r="A22" s="4" t="inlineStr">
        <is>
          <t>TC-API-V02</t>
        </is>
      </c>
      <c r="B22" s="4" t="inlineStr">
        <is>
          <t>Applications API requires authorization (401/403)</t>
        </is>
      </c>
      <c r="C22" s="4" t="inlineStr">
        <is>
          <t>The API must refuse unauthenticated calls.</t>
        </is>
      </c>
      <c r="D22" s="4" t="inlineStr">
        <is>
          <t>API</t>
        </is>
      </c>
      <c r="E22" s="4" t="inlineStr">
        <is>
          <t>Automated</t>
        </is>
      </c>
      <c r="F22" s="4" t="inlineStr">
        <is>
          <t>R04</t>
        </is>
      </c>
    </row>
    <row r="23">
      <c r="A23" s="4" t="inlineStr">
        <is>
          <t>TC-API-V05</t>
        </is>
      </c>
      <c r="B23" s="4" t="inlineStr">
        <is>
          <t>Submit API rejects incomplete application</t>
        </is>
      </c>
      <c r="C23" s="4" t="inlineStr">
        <is>
          <t>The submit API must refuse incomplete applications.</t>
        </is>
      </c>
      <c r="D23" s="4" t="inlineStr">
        <is>
          <t>API + DB</t>
        </is>
      </c>
      <c r="E23" s="4" t="inlineStr">
        <is>
          <t>Automated</t>
        </is>
      </c>
      <c r="F23" s="4" t="inlineStr">
        <is>
          <t>R29, R35</t>
        </is>
      </c>
    </row>
    <row r="25">
      <c r="A25" s="9" t="inlineStr">
        <is>
          <t>Gate size</t>
        </is>
      </c>
      <c r="B25" s="8">
        <f>COUNTIF('Test Cases'!$P$5:$P$110,"P1")</f>
        <v/>
      </c>
    </row>
    <row r="26">
      <c r="A26" s="9" t="inlineStr">
        <is>
          <t>Target</t>
        </is>
      </c>
      <c r="B26" s="8" t="inlineStr">
        <is>
          <t>15 to 20 scenarios</t>
        </is>
      </c>
    </row>
    <row r="27">
      <c r="A27" s="9" t="inlineStr">
        <is>
          <t>Within target?</t>
        </is>
      </c>
      <c r="B27" s="8">
        <f>IF(AND(B25&gt;=15,B25&lt;=20),"Yes","No - review")</f>
        <v/>
      </c>
    </row>
  </sheetData>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J4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1" customWidth="1" min="3" max="3"/>
    <col width="56" customWidth="1" min="4" max="4"/>
    <col width="11" customWidth="1" min="5" max="5"/>
    <col width="9" customWidth="1" min="6" max="6"/>
    <col width="10" customWidth="1" min="7" max="7"/>
    <col width="28" customWidth="1" min="8" max="8"/>
    <col width="60" customWidth="1" min="9" max="9"/>
    <col width="11" customWidth="1" min="10" max="10"/>
  </cols>
  <sheetData>
    <row r="1">
      <c r="A1" s="1" t="inlineStr">
        <is>
          <t>Traceability: Submission 1 risk register (R01-R41) to test cases</t>
        </is>
      </c>
    </row>
    <row r="2">
      <c r="A2" s="2" t="inlineStr">
        <is>
          <t>Linked test cases are counted by formula from the Test Cases sheet.</t>
        </is>
      </c>
    </row>
    <row r="4" ht="32" customHeight="1">
      <c r="A4" s="3" t="inlineStr">
        <is>
          <t>Risk ID</t>
        </is>
      </c>
      <c r="B4" s="3" t="inlineStr">
        <is>
          <t>Module</t>
        </is>
      </c>
      <c r="C4" s="3" t="inlineStr">
        <is>
          <t>Layer</t>
        </is>
      </c>
      <c r="D4" s="3" t="inlineStr">
        <is>
          <t>Risk</t>
        </is>
      </c>
      <c r="E4" s="3" t="inlineStr">
        <is>
          <t>Likelihood</t>
        </is>
      </c>
      <c r="F4" s="3" t="inlineStr">
        <is>
          <t>Impact</t>
        </is>
      </c>
      <c r="G4" s="3" t="inlineStr">
        <is>
          <t>Rating</t>
        </is>
      </c>
      <c r="H4" s="3" t="inlineStr">
        <is>
          <t>Covered by (Submission 1)</t>
        </is>
      </c>
      <c r="I4" s="3" t="inlineStr">
        <is>
          <t>Linked Test Cases</t>
        </is>
      </c>
      <c r="J4" s="3" t="inlineStr">
        <is>
          <t># Test Cases</t>
        </is>
      </c>
    </row>
    <row r="5">
      <c r="A5" s="4" t="inlineStr">
        <is>
          <t>R01</t>
        </is>
      </c>
      <c r="B5" s="4" t="inlineStr">
        <is>
          <t>Authentication</t>
        </is>
      </c>
      <c r="C5" s="4" t="inlineStr">
        <is>
          <t>UI</t>
        </is>
      </c>
      <c r="D5" s="4" t="inlineStr">
        <is>
          <t>Valid agents cannot log in after authentication changes</t>
        </is>
      </c>
      <c r="E5" s="4" t="inlineStr">
        <is>
          <t>Medium</t>
        </is>
      </c>
      <c r="F5" s="4" t="inlineStr">
        <is>
          <t>High</t>
        </is>
      </c>
      <c r="G5" s="14" t="inlineStr">
        <is>
          <t>High</t>
        </is>
      </c>
      <c r="H5" s="4" t="inlineStr">
        <is>
          <t>AUTH-V01</t>
        </is>
      </c>
      <c r="I5" s="4" t="inlineStr">
        <is>
          <t>TC-AUTH-V01, TC-AUTH-V09, TC-AUTH-V14</t>
        </is>
      </c>
      <c r="J5" s="4">
        <f>COUNTIF('Test Cases'!$F$5:$F$110,"*"&amp;A5&amp;"*")</f>
        <v/>
      </c>
    </row>
    <row r="6">
      <c r="A6" s="4" t="inlineStr">
        <is>
          <t>R02</t>
        </is>
      </c>
      <c r="B6" s="4" t="inlineStr">
        <is>
          <t>Authentication</t>
        </is>
      </c>
      <c r="C6" s="4" t="inlineStr">
        <is>
          <t>UI</t>
        </is>
      </c>
      <c r="D6" s="4" t="inlineStr">
        <is>
          <t>Locked or invalid users see incorrect or misleading messages</t>
        </is>
      </c>
      <c r="E6" s="4" t="inlineStr">
        <is>
          <t>Medium</t>
        </is>
      </c>
      <c r="F6" s="4" t="inlineStr">
        <is>
          <t>Medium</t>
        </is>
      </c>
      <c r="G6" s="16" t="inlineStr">
        <is>
          <t>Medium</t>
        </is>
      </c>
      <c r="H6" s="4" t="inlineStr">
        <is>
          <t>AUTH-V02, V06</t>
        </is>
      </c>
      <c r="I6" s="4" t="inlineStr">
        <is>
          <t>TC-AUTH-V02, TC-AUTH-V03, TC-AUTH-V06</t>
        </is>
      </c>
      <c r="J6" s="4">
        <f>COUNTIF('Test Cases'!$F$5:$F$110,"*"&amp;A6&amp;"*")</f>
        <v/>
      </c>
    </row>
    <row r="7">
      <c r="A7" s="4" t="inlineStr">
        <is>
          <t>R03</t>
        </is>
      </c>
      <c r="B7" s="4" t="inlineStr">
        <is>
          <t>Authentication</t>
        </is>
      </c>
      <c r="C7" s="4" t="inlineStr">
        <is>
          <t>API/DB</t>
        </is>
      </c>
      <c r="D7" s="4" t="inlineStr">
        <is>
          <t>Lockout after five failures not enforced server-side or counter not stored</t>
        </is>
      </c>
      <c r="E7" s="4" t="inlineStr">
        <is>
          <t>Medium</t>
        </is>
      </c>
      <c r="F7" s="4" t="inlineStr">
        <is>
          <t>High</t>
        </is>
      </c>
      <c r="G7" s="14" t="inlineStr">
        <is>
          <t>High</t>
        </is>
      </c>
      <c r="H7" s="4" t="inlineStr">
        <is>
          <t>AUTH-V07, DB-10</t>
        </is>
      </c>
      <c r="I7" s="4" t="inlineStr">
        <is>
          <t>TC-AUTH-V07, TC-DB-10</t>
        </is>
      </c>
      <c r="J7" s="4">
        <f>COUNTIF('Test Cases'!$F$5:$F$110,"*"&amp;A7&amp;"*")</f>
        <v/>
      </c>
    </row>
    <row r="8">
      <c r="A8" s="4" t="inlineStr">
        <is>
          <t>R04</t>
        </is>
      </c>
      <c r="B8" s="4" t="inlineStr">
        <is>
          <t>Authentication</t>
        </is>
      </c>
      <c r="C8" s="4" t="inlineStr">
        <is>
          <t>API</t>
        </is>
      </c>
      <c r="D8" s="4" t="inlineStr">
        <is>
          <t>Protected pages or endpoints reachable without authentication</t>
        </is>
      </c>
      <c r="E8" s="4" t="inlineStr">
        <is>
          <t>Low</t>
        </is>
      </c>
      <c r="F8" s="4" t="inlineStr">
        <is>
          <t>High</t>
        </is>
      </c>
      <c r="G8" s="16" t="inlineStr">
        <is>
          <t>Medium</t>
        </is>
      </c>
      <c r="H8" s="4" t="inlineStr">
        <is>
          <t>AUTH-V05, API-V02</t>
        </is>
      </c>
      <c r="I8" s="4" t="inlineStr">
        <is>
          <t>TC-AUTH-V05, TC-API-V02</t>
        </is>
      </c>
      <c r="J8" s="4">
        <f>COUNTIF('Test Cases'!$F$5:$F$110,"*"&amp;A8&amp;"*")</f>
        <v/>
      </c>
    </row>
    <row r="9">
      <c r="A9" s="4" t="inlineStr">
        <is>
          <t>R05</t>
        </is>
      </c>
      <c r="B9" s="4" t="inlineStr">
        <is>
          <t>Authentication</t>
        </is>
      </c>
      <c r="C9" s="4" t="inlineStr">
        <is>
          <t>UI/API</t>
        </is>
      </c>
      <c r="D9" s="4" t="inlineStr">
        <is>
          <t>Session not cleared on logout; no session timeout</t>
        </is>
      </c>
      <c r="E9" s="4" t="inlineStr">
        <is>
          <t>Medium</t>
        </is>
      </c>
      <c r="F9" s="4" t="inlineStr">
        <is>
          <t>High</t>
        </is>
      </c>
      <c r="G9" s="14" t="inlineStr">
        <is>
          <t>High</t>
        </is>
      </c>
      <c r="H9" s="4" t="inlineStr">
        <is>
          <t>AUTH-V04, AUTH-V10</t>
        </is>
      </c>
      <c r="I9" s="4" t="inlineStr">
        <is>
          <t>TC-AUTH-V04, TC-AUTH-V10</t>
        </is>
      </c>
      <c r="J9" s="4">
        <f>COUNTIF('Test Cases'!$F$5:$F$110,"*"&amp;A9&amp;"*")</f>
        <v/>
      </c>
    </row>
    <row r="10">
      <c r="A10" s="4" t="inlineStr">
        <is>
          <t>R06</t>
        </is>
      </c>
      <c r="B10" s="4" t="inlineStr">
        <is>
          <t>Authentication</t>
        </is>
      </c>
      <c r="C10" s="4" t="inlineStr">
        <is>
          <t>UI</t>
        </is>
      </c>
      <c r="D10" s="4" t="inlineStr">
        <is>
          <t>Password policy inconsistently enforced</t>
        </is>
      </c>
      <c r="E10" s="4" t="inlineStr">
        <is>
          <t>Medium</t>
        </is>
      </c>
      <c r="F10" s="4" t="inlineStr">
        <is>
          <t>Medium</t>
        </is>
      </c>
      <c r="G10" s="16" t="inlineStr">
        <is>
          <t>Medium</t>
        </is>
      </c>
      <c r="H10" s="4" t="inlineStr">
        <is>
          <t>AUTH-V08</t>
        </is>
      </c>
      <c r="I10" s="4" t="inlineStr">
        <is>
          <t>TC-AUTH-V08, TC-AUTH-V11, TC-AUTH-V12, TC-AUTH-V13</t>
        </is>
      </c>
      <c r="J10" s="4">
        <f>COUNTIF('Test Cases'!$F$5:$F$110,"*"&amp;A10&amp;"*")</f>
        <v/>
      </c>
    </row>
    <row r="11">
      <c r="A11" s="4" t="inlineStr">
        <is>
          <t>R07</t>
        </is>
      </c>
      <c r="B11" s="4" t="inlineStr">
        <is>
          <t>Dashboard</t>
        </is>
      </c>
      <c r="C11" s="4" t="inlineStr">
        <is>
          <t>UI/API/DB</t>
        </is>
      </c>
      <c r="D11" s="4" t="inlineStr">
        <is>
          <t>Dashboard status differs from backend status</t>
        </is>
      </c>
      <c r="E11" s="4" t="inlineStr">
        <is>
          <t>Medium</t>
        </is>
      </c>
      <c r="F11" s="4" t="inlineStr">
        <is>
          <t>High</t>
        </is>
      </c>
      <c r="G11" s="14" t="inlineStr">
        <is>
          <t>High</t>
        </is>
      </c>
      <c r="H11" s="4" t="inlineStr">
        <is>
          <t>DASH-V06, API-V06, DB-03</t>
        </is>
      </c>
      <c r="I11" s="4" t="inlineStr">
        <is>
          <t>TC-DASH-V01, TC-DASH-V03, TC-DASH-V05, TC-DASH-V06, TC-DASH-V07, TC-WF-V06, TC-WF-V07, TC-API-V06, TC-DB-03</t>
        </is>
      </c>
      <c r="J11" s="4">
        <f>COUNTIF('Test Cases'!$F$5:$F$110,"*"&amp;A11&amp;"*")</f>
        <v/>
      </c>
    </row>
    <row r="12">
      <c r="A12" s="4" t="inlineStr">
        <is>
          <t>R08</t>
        </is>
      </c>
      <c r="B12" s="4" t="inlineStr">
        <is>
          <t>Dashboard</t>
        </is>
      </c>
      <c r="C12" s="4" t="inlineStr">
        <is>
          <t>API/DB</t>
        </is>
      </c>
      <c r="D12" s="4" t="inlineStr">
        <is>
          <t>Agent sees another agent's applications</t>
        </is>
      </c>
      <c r="E12" s="4" t="inlineStr">
        <is>
          <t>Low</t>
        </is>
      </c>
      <c r="F12" s="4" t="inlineStr">
        <is>
          <t>High</t>
        </is>
      </c>
      <c r="G12" s="16" t="inlineStr">
        <is>
          <t>Medium</t>
        </is>
      </c>
      <c r="H12" s="4" t="inlineStr">
        <is>
          <t>DASH-V02, API-V08, DB-09</t>
        </is>
      </c>
      <c r="I12" s="4" t="inlineStr">
        <is>
          <t>TC-DASH-V02, TC-API-V08, TC-DB-09</t>
        </is>
      </c>
      <c r="J12" s="4">
        <f>COUNTIF('Test Cases'!$F$5:$F$110,"*"&amp;A12&amp;"*")</f>
        <v/>
      </c>
    </row>
    <row r="13">
      <c r="A13" s="4" t="inlineStr">
        <is>
          <t>R09</t>
        </is>
      </c>
      <c r="B13" s="4" t="inlineStr">
        <is>
          <t>Dashboard</t>
        </is>
      </c>
      <c r="C13" s="4" t="inlineStr">
        <is>
          <t>UI</t>
        </is>
      </c>
      <c r="D13" s="4" t="inlineStr">
        <is>
          <t>Resumed draft shows missing or stale data</t>
        </is>
      </c>
      <c r="E13" s="4" t="inlineStr">
        <is>
          <t>Medium</t>
        </is>
      </c>
      <c r="F13" s="4" t="inlineStr">
        <is>
          <t>Medium</t>
        </is>
      </c>
      <c r="G13" s="16" t="inlineStr">
        <is>
          <t>Medium</t>
        </is>
      </c>
      <c r="H13" s="4" t="inlineStr">
        <is>
          <t>DASH-V04, WF-V02</t>
        </is>
      </c>
      <c r="I13" s="4" t="inlineStr">
        <is>
          <t>TC-DASH-V04, TC-WF-V02</t>
        </is>
      </c>
      <c r="J13" s="4">
        <f>COUNTIF('Test Cases'!$F$5:$F$110,"*"&amp;A13&amp;"*")</f>
        <v/>
      </c>
    </row>
    <row r="14">
      <c r="A14" s="4" t="inlineStr">
        <is>
          <t>R10</t>
        </is>
      </c>
      <c r="B14" s="4" t="inlineStr">
        <is>
          <t>Client / KYC</t>
        </is>
      </c>
      <c r="C14" s="4" t="inlineStr">
        <is>
          <t>UI/API</t>
        </is>
      </c>
      <c r="D14" s="4" t="inlineStr">
        <is>
          <t>Age eligibility (18-65) rules missed</t>
        </is>
      </c>
      <c r="E14" s="4" t="inlineStr">
        <is>
          <t>Medium</t>
        </is>
      </c>
      <c r="F14" s="4" t="inlineStr">
        <is>
          <t>High</t>
        </is>
      </c>
      <c r="G14" s="14" t="inlineStr">
        <is>
          <t>High</t>
        </is>
      </c>
      <c r="H14" s="4" t="inlineStr">
        <is>
          <t>CLI-V03, V04</t>
        </is>
      </c>
      <c r="I14" s="4" t="inlineStr">
        <is>
          <t>TC-CLI-V01, TC-CLI-V02, TC-CLI-V03, TC-CLI-V04, TC-CLI-V13</t>
        </is>
      </c>
      <c r="J14" s="4">
        <f>COUNTIF('Test Cases'!$F$5:$F$110,"*"&amp;A14&amp;"*")</f>
        <v/>
      </c>
    </row>
    <row r="15">
      <c r="A15" s="4" t="inlineStr">
        <is>
          <t>R11</t>
        </is>
      </c>
      <c r="B15" s="4" t="inlineStr">
        <is>
          <t>Client / KYC</t>
        </is>
      </c>
      <c r="C15" s="4" t="inlineStr">
        <is>
          <t>UI/API</t>
        </is>
      </c>
      <c r="D15" s="4" t="inlineStr">
        <is>
          <t>Future date of birth accepted</t>
        </is>
      </c>
      <c r="E15" s="4" t="inlineStr">
        <is>
          <t>Medium</t>
        </is>
      </c>
      <c r="F15" s="4" t="inlineStr">
        <is>
          <t>High</t>
        </is>
      </c>
      <c r="G15" s="14" t="inlineStr">
        <is>
          <t>High</t>
        </is>
      </c>
      <c r="H15" s="4" t="inlineStr">
        <is>
          <t>CLI-V05, API-V03</t>
        </is>
      </c>
      <c r="I15" s="4" t="inlineStr">
        <is>
          <t>TC-CLI-V05, TC-API-V03</t>
        </is>
      </c>
      <c r="J15" s="4">
        <f>COUNTIF('Test Cases'!$F$5:$F$110,"*"&amp;A15&amp;"*")</f>
        <v/>
      </c>
    </row>
    <row r="16">
      <c r="A16" s="4" t="inlineStr">
        <is>
          <t>R12</t>
        </is>
      </c>
      <c r="B16" s="4" t="inlineStr">
        <is>
          <t>Client / KYC</t>
        </is>
      </c>
      <c r="C16" s="4" t="inlineStr">
        <is>
          <t>UI/DB</t>
        </is>
      </c>
      <c r="D16" s="4" t="inlineStr">
        <is>
          <t>SSN displayed unmasked, or stored/logged in clear text</t>
        </is>
      </c>
      <c r="E16" s="4" t="inlineStr">
        <is>
          <t>Medium</t>
        </is>
      </c>
      <c r="F16" s="4" t="inlineStr">
        <is>
          <t>High</t>
        </is>
      </c>
      <c r="G16" s="14" t="inlineStr">
        <is>
          <t>High</t>
        </is>
      </c>
      <c r="H16" s="4" t="inlineStr">
        <is>
          <t>CLI-V08, DB-07</t>
        </is>
      </c>
      <c r="I16" s="4" t="inlineStr">
        <is>
          <t>TC-CLI-V08, TC-DB-07</t>
        </is>
      </c>
      <c r="J16" s="4">
        <f>COUNTIF('Test Cases'!$F$5:$F$110,"*"&amp;A16&amp;"*")</f>
        <v/>
      </c>
    </row>
    <row r="17">
      <c r="A17" s="4" t="inlineStr">
        <is>
          <t>R13</t>
        </is>
      </c>
      <c r="B17" s="4" t="inlineStr">
        <is>
          <t>Client / KYC</t>
        </is>
      </c>
      <c r="C17" s="4" t="inlineStr">
        <is>
          <t>UI/API</t>
        </is>
      </c>
      <c r="D17" s="4" t="inlineStr">
        <is>
          <t>Income vs premium affordability not applied</t>
        </is>
      </c>
      <c r="E17" s="4" t="inlineStr">
        <is>
          <t>Medium</t>
        </is>
      </c>
      <c r="F17" s="4" t="inlineStr">
        <is>
          <t>High</t>
        </is>
      </c>
      <c r="G17" s="14" t="inlineStr">
        <is>
          <t>High</t>
        </is>
      </c>
      <c r="H17" s="4" t="inlineStr">
        <is>
          <t>CLI-V12</t>
        </is>
      </c>
      <c r="I17" s="4" t="inlineStr">
        <is>
          <t>TC-CLI-V12</t>
        </is>
      </c>
      <c r="J17" s="4">
        <f>COUNTIF('Test Cases'!$F$5:$F$110,"*"&amp;A17&amp;"*")</f>
        <v/>
      </c>
    </row>
    <row r="18">
      <c r="A18" s="4" t="inlineStr">
        <is>
          <t>R14</t>
        </is>
      </c>
      <c r="B18" s="4" t="inlineStr">
        <is>
          <t>Client / KYC</t>
        </is>
      </c>
      <c r="C18" s="4" t="inlineStr">
        <is>
          <t>UI</t>
        </is>
      </c>
      <c r="D18" s="4" t="inlineStr">
        <is>
          <t>PEP details not enforced; PEP not flagged</t>
        </is>
      </c>
      <c r="E18" s="4" t="inlineStr">
        <is>
          <t>Low</t>
        </is>
      </c>
      <c r="F18" s="4" t="inlineStr">
        <is>
          <t>Medium</t>
        </is>
      </c>
      <c r="G18" s="13" t="inlineStr">
        <is>
          <t>Low</t>
        </is>
      </c>
      <c r="H18" s="4" t="inlineStr">
        <is>
          <t>CLI-V10</t>
        </is>
      </c>
      <c r="I18" s="4" t="inlineStr">
        <is>
          <t>TC-CLI-V10</t>
        </is>
      </c>
      <c r="J18" s="4">
        <f>COUNTIF('Test Cases'!$F$5:$F$110,"*"&amp;A18&amp;"*")</f>
        <v/>
      </c>
    </row>
    <row r="19">
      <c r="A19" s="4" t="inlineStr">
        <is>
          <t>R15</t>
        </is>
      </c>
      <c r="B19" s="4" t="inlineStr">
        <is>
          <t>Client / KYC</t>
        </is>
      </c>
      <c r="C19" s="4" t="inlineStr">
        <is>
          <t>UI</t>
        </is>
      </c>
      <c r="D19" s="4" t="inlineStr">
        <is>
          <t>Address copy or email/phone format errors</t>
        </is>
      </c>
      <c r="E19" s="4" t="inlineStr">
        <is>
          <t>Low</t>
        </is>
      </c>
      <c r="F19" s="4" t="inlineStr">
        <is>
          <t>Low</t>
        </is>
      </c>
      <c r="G19" s="13" t="inlineStr">
        <is>
          <t>Low</t>
        </is>
      </c>
      <c r="H19" s="4" t="inlineStr">
        <is>
          <t>CLI-V06, V07</t>
        </is>
      </c>
      <c r="I19" s="4" t="inlineStr">
        <is>
          <t>TC-CLI-V06, TC-CLI-V07, TC-CLI-V11, TC-CLI-V14, TC-CLI-V15</t>
        </is>
      </c>
      <c r="J19" s="4">
        <f>COUNTIF('Test Cases'!$F$5:$F$110,"*"&amp;A19&amp;"*")</f>
        <v/>
      </c>
    </row>
    <row r="20">
      <c r="A20" s="4" t="inlineStr">
        <is>
          <t>R16</t>
        </is>
      </c>
      <c r="B20" s="4" t="inlineStr">
        <is>
          <t>Product / Policy</t>
        </is>
      </c>
      <c r="C20" s="4" t="inlineStr">
        <is>
          <t>UI/API</t>
        </is>
      </c>
      <c r="D20" s="4" t="inlineStr">
        <is>
          <t>Product eligibility not validated against age or suitability</t>
        </is>
      </c>
      <c r="E20" s="4" t="inlineStr">
        <is>
          <t>Medium</t>
        </is>
      </c>
      <c r="F20" s="4" t="inlineStr">
        <is>
          <t>High</t>
        </is>
      </c>
      <c r="G20" s="14" t="inlineStr">
        <is>
          <t>High</t>
        </is>
      </c>
      <c r="H20" s="4" t="inlineStr">
        <is>
          <t>PROD-V07, PROD-V08</t>
        </is>
      </c>
      <c r="I20" s="4" t="inlineStr">
        <is>
          <t>TC-PROD-V01, TC-PROD-V02, TC-PROD-V07, TC-PROD-V08, TC-PROD-V10</t>
        </is>
      </c>
      <c r="J20" s="4">
        <f>COUNTIF('Test Cases'!$F$5:$F$110,"*"&amp;A20&amp;"*")</f>
        <v/>
      </c>
    </row>
    <row r="21">
      <c r="A21" s="4" t="inlineStr">
        <is>
          <t>R17</t>
        </is>
      </c>
      <c r="B21" s="4" t="inlineStr">
        <is>
          <t>Product / Policy</t>
        </is>
      </c>
      <c r="C21" s="4" t="inlineStr">
        <is>
          <t>UI/API</t>
        </is>
      </c>
      <c r="D21" s="4" t="inlineStr">
        <is>
          <t>Face value min/max not enforced</t>
        </is>
      </c>
      <c r="E21" s="4" t="inlineStr">
        <is>
          <t>Medium</t>
        </is>
      </c>
      <c r="F21" s="4" t="inlineStr">
        <is>
          <t>High</t>
        </is>
      </c>
      <c r="G21" s="14" t="inlineStr">
        <is>
          <t>High</t>
        </is>
      </c>
      <c r="H21" s="4" t="inlineStr">
        <is>
          <t>PROD-V03, V04</t>
        </is>
      </c>
      <c r="I21" s="4" t="inlineStr">
        <is>
          <t>TC-PROD-V03, TC-PROD-V04</t>
        </is>
      </c>
      <c r="J21" s="4">
        <f>COUNTIF('Test Cases'!$F$5:$F$110,"*"&amp;A21&amp;"*")</f>
        <v/>
      </c>
    </row>
    <row r="22">
      <c r="A22" s="4" t="inlineStr">
        <is>
          <t>R18</t>
        </is>
      </c>
      <c r="B22" s="4" t="inlineStr">
        <is>
          <t>Product / Policy</t>
        </is>
      </c>
      <c r="C22" s="4" t="inlineStr">
        <is>
          <t>UI/API</t>
        </is>
      </c>
      <c r="D22" s="4" t="inlineStr">
        <is>
          <t>Premium not recalculated after configuration change</t>
        </is>
      </c>
      <c r="E22" s="4" t="inlineStr">
        <is>
          <t>Medium</t>
        </is>
      </c>
      <c r="F22" s="4" t="inlineStr">
        <is>
          <t>High</t>
        </is>
      </c>
      <c r="G22" s="14" t="inlineStr">
        <is>
          <t>High</t>
        </is>
      </c>
      <c r="H22" s="4" t="inlineStr">
        <is>
          <t>PROD-V05, V06</t>
        </is>
      </c>
      <c r="I22" s="4" t="inlineStr">
        <is>
          <t>TC-PROD-V05, TC-PROD-V06, TC-PROD-V09, TC-PROD-V11</t>
        </is>
      </c>
      <c r="J22" s="4">
        <f>COUNTIF('Test Cases'!$F$5:$F$110,"*"&amp;A22&amp;"*")</f>
        <v/>
      </c>
    </row>
    <row r="23">
      <c r="A23" s="4" t="inlineStr">
        <is>
          <t>R19</t>
        </is>
      </c>
      <c r="B23" s="4" t="inlineStr">
        <is>
          <t>Product / Policy</t>
        </is>
      </c>
      <c r="C23" s="4" t="inlineStr">
        <is>
          <t>UI/DB</t>
        </is>
      </c>
      <c r="D23" s="4" t="inlineStr">
        <is>
          <t>Premium on review page differs from stored premium</t>
        </is>
      </c>
      <c r="E23" s="4" t="inlineStr">
        <is>
          <t>Low</t>
        </is>
      </c>
      <c r="F23" s="4" t="inlineStr">
        <is>
          <t>High</t>
        </is>
      </c>
      <c r="G23" s="16" t="inlineStr">
        <is>
          <t>Medium</t>
        </is>
      </c>
      <c r="H23" s="4" t="inlineStr">
        <is>
          <t>PROD-V06, DB-06</t>
        </is>
      </c>
      <c r="I23" s="4" t="inlineStr">
        <is>
          <t>TC-PROD-V06, TC-WF-V08, TC-DB-06</t>
        </is>
      </c>
      <c r="J23" s="4">
        <f>COUNTIF('Test Cases'!$F$5:$F$110,"*"&amp;A23&amp;"*")</f>
        <v/>
      </c>
    </row>
    <row r="24">
      <c r="A24" s="4" t="inlineStr">
        <is>
          <t>R20</t>
        </is>
      </c>
      <c r="B24" s="4" t="inlineStr">
        <is>
          <t>Riders</t>
        </is>
      </c>
      <c r="C24" s="4" t="inlineStr">
        <is>
          <t>UI/API</t>
        </is>
      </c>
      <c r="D24" s="4" t="inlineStr">
        <is>
          <t>Rider coverage exceeds base face value</t>
        </is>
      </c>
      <c r="E24" s="4" t="inlineStr">
        <is>
          <t>Medium</t>
        </is>
      </c>
      <c r="F24" s="4" t="inlineStr">
        <is>
          <t>High</t>
        </is>
      </c>
      <c r="G24" s="14" t="inlineStr">
        <is>
          <t>High</t>
        </is>
      </c>
      <c r="H24" s="4" t="inlineStr">
        <is>
          <t>RIDER-V02</t>
        </is>
      </c>
      <c r="I24" s="4" t="inlineStr">
        <is>
          <t>TC-RIDER-V02</t>
        </is>
      </c>
      <c r="J24" s="4">
        <f>COUNTIF('Test Cases'!$F$5:$F$110,"*"&amp;A24&amp;"*")</f>
        <v/>
      </c>
    </row>
    <row r="25">
      <c r="A25" s="4" t="inlineStr">
        <is>
          <t>R21</t>
        </is>
      </c>
      <c r="B25" s="4" t="inlineStr">
        <is>
          <t>Riders</t>
        </is>
      </c>
      <c r="C25" s="4" t="inlineStr">
        <is>
          <t>UI</t>
        </is>
      </c>
      <c r="D25" s="4" t="inlineStr">
        <is>
          <t>Mutually exclusive waiver riders both selectable</t>
        </is>
      </c>
      <c r="E25" s="4" t="inlineStr">
        <is>
          <t>Medium</t>
        </is>
      </c>
      <c r="F25" s="4" t="inlineStr">
        <is>
          <t>Medium</t>
        </is>
      </c>
      <c r="G25" s="16" t="inlineStr">
        <is>
          <t>Medium</t>
        </is>
      </c>
      <c r="H25" s="4" t="inlineStr">
        <is>
          <t>RIDER-V05</t>
        </is>
      </c>
      <c r="I25" s="4" t="inlineStr">
        <is>
          <t>TC-RIDER-V05</t>
        </is>
      </c>
      <c r="J25" s="4">
        <f>COUNTIF('Test Cases'!$F$5:$F$110,"*"&amp;A25&amp;"*")</f>
        <v/>
      </c>
    </row>
    <row r="26">
      <c r="A26" s="4" t="inlineStr">
        <is>
          <t>R22</t>
        </is>
      </c>
      <c r="B26" s="4" t="inlineStr">
        <is>
          <t>Riders</t>
        </is>
      </c>
      <c r="C26" s="4" t="inlineStr">
        <is>
          <t>UI/API</t>
        </is>
      </c>
      <c r="D26" s="4" t="inlineStr">
        <is>
          <t>Age-ineligible rider or maximum count not enforced</t>
        </is>
      </c>
      <c r="E26" s="4" t="inlineStr">
        <is>
          <t>Low</t>
        </is>
      </c>
      <c r="F26" s="4" t="inlineStr">
        <is>
          <t>Medium</t>
        </is>
      </c>
      <c r="G26" s="13" t="inlineStr">
        <is>
          <t>Low</t>
        </is>
      </c>
      <c r="H26" s="4" t="inlineStr">
        <is>
          <t>RIDER-V03, V04</t>
        </is>
      </c>
      <c r="I26" s="4" t="inlineStr">
        <is>
          <t>TC-RIDER-V03, TC-RIDER-V04, TC-RIDER-V06</t>
        </is>
      </c>
      <c r="J26" s="4">
        <f>COUNTIF('Test Cases'!$F$5:$F$110,"*"&amp;A26&amp;"*")</f>
        <v/>
      </c>
    </row>
    <row r="27">
      <c r="A27" s="4" t="inlineStr">
        <is>
          <t>R23</t>
        </is>
      </c>
      <c r="B27" s="4" t="inlineStr">
        <is>
          <t>Riders</t>
        </is>
      </c>
      <c r="C27" s="4" t="inlineStr">
        <is>
          <t>UI</t>
        </is>
      </c>
      <c r="D27" s="4" t="inlineStr">
        <is>
          <t>Rider premium not itemized or total not updated</t>
        </is>
      </c>
      <c r="E27" s="4" t="inlineStr">
        <is>
          <t>Low</t>
        </is>
      </c>
      <c r="F27" s="4" t="inlineStr">
        <is>
          <t>Medium</t>
        </is>
      </c>
      <c r="G27" s="13" t="inlineStr">
        <is>
          <t>Low</t>
        </is>
      </c>
      <c r="H27" s="4" t="inlineStr">
        <is>
          <t>RIDER-V07</t>
        </is>
      </c>
      <c r="I27" s="4" t="inlineStr">
        <is>
          <t>TC-RIDER-V01, TC-RIDER-V07</t>
        </is>
      </c>
      <c r="J27" s="4">
        <f>COUNTIF('Test Cases'!$F$5:$F$110,"*"&amp;A27&amp;"*")</f>
        <v/>
      </c>
    </row>
    <row r="28">
      <c r="A28" s="4" t="inlineStr">
        <is>
          <t>R24</t>
        </is>
      </c>
      <c r="B28" s="4" t="inlineStr">
        <is>
          <t>Beneficiaries</t>
        </is>
      </c>
      <c r="C28" s="4" t="inlineStr">
        <is>
          <t>UI/API/DB</t>
        </is>
      </c>
      <c r="D28" s="4" t="inlineStr">
        <is>
          <t>Allocation below or above 100% accepted</t>
        </is>
      </c>
      <c r="E28" s="4" t="inlineStr">
        <is>
          <t>Medium</t>
        </is>
      </c>
      <c r="F28" s="4" t="inlineStr">
        <is>
          <t>High</t>
        </is>
      </c>
      <c r="G28" s="14" t="inlineStr">
        <is>
          <t>High</t>
        </is>
      </c>
      <c r="H28" s="4" t="inlineStr">
        <is>
          <t>BEN-V02, V03, API-V04, DB-04</t>
        </is>
      </c>
      <c r="I28" s="4" t="inlineStr">
        <is>
          <t>TC-BEN-V01, TC-BEN-V02, TC-BEN-V03, TC-BEN-V04, TC-BEN-V10, TC-API-V04, TC-DB-04</t>
        </is>
      </c>
      <c r="J28" s="4">
        <f>COUNTIF('Test Cases'!$F$5:$F$110,"*"&amp;A28&amp;"*")</f>
        <v/>
      </c>
    </row>
    <row r="29">
      <c r="A29" s="4" t="inlineStr">
        <is>
          <t>R25</t>
        </is>
      </c>
      <c r="B29" s="4" t="inlineStr">
        <is>
          <t>Beneficiaries</t>
        </is>
      </c>
      <c r="C29" s="4" t="inlineStr">
        <is>
          <t>UI/API/DB</t>
        </is>
      </c>
      <c r="D29" s="4" t="inlineStr">
        <is>
          <t>Minor beneficiary saved without guardian</t>
        </is>
      </c>
      <c r="E29" s="4" t="inlineStr">
        <is>
          <t>Medium</t>
        </is>
      </c>
      <c r="F29" s="4" t="inlineStr">
        <is>
          <t>High</t>
        </is>
      </c>
      <c r="G29" s="14" t="inlineStr">
        <is>
          <t>High</t>
        </is>
      </c>
      <c r="H29" s="4" t="inlineStr">
        <is>
          <t>BEN-V05, DB-05</t>
        </is>
      </c>
      <c r="I29" s="4" t="inlineStr">
        <is>
          <t>TC-BEN-V05, TC-DB-05</t>
        </is>
      </c>
      <c r="J29" s="4">
        <f>COUNTIF('Test Cases'!$F$5:$F$110,"*"&amp;A29&amp;"*")</f>
        <v/>
      </c>
    </row>
    <row r="30">
      <c r="A30" s="4" t="inlineStr">
        <is>
          <t>R26</t>
        </is>
      </c>
      <c r="B30" s="4" t="inlineStr">
        <is>
          <t>Beneficiaries</t>
        </is>
      </c>
      <c r="C30" s="4" t="inlineStr">
        <is>
          <t>UI/API</t>
        </is>
      </c>
      <c r="D30" s="4" t="inlineStr">
        <is>
          <t>Duplicate beneficiary not blocked</t>
        </is>
      </c>
      <c r="E30" s="4" t="inlineStr">
        <is>
          <t>Medium</t>
        </is>
      </c>
      <c r="F30" s="4" t="inlineStr">
        <is>
          <t>Medium</t>
        </is>
      </c>
      <c r="G30" s="16" t="inlineStr">
        <is>
          <t>Medium</t>
        </is>
      </c>
      <c r="H30" s="4" t="inlineStr">
        <is>
          <t>BEN-V08</t>
        </is>
      </c>
      <c r="I30" s="4" t="inlineStr">
        <is>
          <t>TC-BEN-V08</t>
        </is>
      </c>
      <c r="J30" s="4">
        <f>COUNTIF('Test Cases'!$F$5:$F$110,"*"&amp;A30&amp;"*")</f>
        <v/>
      </c>
    </row>
    <row r="31">
      <c r="A31" s="4" t="inlineStr">
        <is>
          <t>R27</t>
        </is>
      </c>
      <c r="B31" s="4" t="inlineStr">
        <is>
          <t>Beneficiaries</t>
        </is>
      </c>
      <c r="C31" s="4" t="inlineStr">
        <is>
          <t>UI</t>
        </is>
      </c>
      <c r="D31" s="4" t="inlineStr">
        <is>
          <t>Trust/Organization fields wrong; irrevocable confirmation missing</t>
        </is>
      </c>
      <c r="E31" s="4" t="inlineStr">
        <is>
          <t>Low</t>
        </is>
      </c>
      <c r="F31" s="4" t="inlineStr">
        <is>
          <t>Medium</t>
        </is>
      </c>
      <c r="G31" s="13" t="inlineStr">
        <is>
          <t>Low</t>
        </is>
      </c>
      <c r="H31" s="4" t="inlineStr">
        <is>
          <t>BEN-V06, V07, BEN-V11</t>
        </is>
      </c>
      <c r="I31" s="4" t="inlineStr">
        <is>
          <t>TC-BEN-V06, TC-BEN-V07, TC-BEN-V11</t>
        </is>
      </c>
      <c r="J31" s="4">
        <f>COUNTIF('Test Cases'!$F$5:$F$110,"*"&amp;A31&amp;"*")</f>
        <v/>
      </c>
    </row>
    <row r="32">
      <c r="A32" s="4" t="inlineStr">
        <is>
          <t>R28</t>
        </is>
      </c>
      <c r="B32" s="4" t="inlineStr">
        <is>
          <t>Beneficiaries</t>
        </is>
      </c>
      <c r="C32" s="4" t="inlineStr">
        <is>
          <t>UI/DB</t>
        </is>
      </c>
      <c r="D32" s="4" t="inlineStr">
        <is>
          <t>Removing beneficiary leaves wrong running total or stale data</t>
        </is>
      </c>
      <c r="E32" s="4" t="inlineStr">
        <is>
          <t>Low</t>
        </is>
      </c>
      <c r="F32" s="4" t="inlineStr">
        <is>
          <t>Medium</t>
        </is>
      </c>
      <c r="G32" s="13" t="inlineStr">
        <is>
          <t>Low</t>
        </is>
      </c>
      <c r="H32" s="4" t="inlineStr">
        <is>
          <t>BEN-V09</t>
        </is>
      </c>
      <c r="I32" s="4" t="inlineStr">
        <is>
          <t>TC-BEN-V09</t>
        </is>
      </c>
      <c r="J32" s="4">
        <f>COUNTIF('Test Cases'!$F$5:$F$110,"*"&amp;A32&amp;"*")</f>
        <v/>
      </c>
    </row>
    <row r="33">
      <c r="A33" s="4" t="inlineStr">
        <is>
          <t>R29</t>
        </is>
      </c>
      <c r="B33" s="4" t="inlineStr">
        <is>
          <t>Documents / Validation</t>
        </is>
      </c>
      <c r="C33" s="4" t="inlineStr">
        <is>
          <t>UI/API/DB</t>
        </is>
      </c>
      <c r="D33" s="4" t="inlineStr">
        <is>
          <t>Mandatory KYC documents not enforced before submission</t>
        </is>
      </c>
      <c r="E33" s="4" t="inlineStr">
        <is>
          <t>Medium</t>
        </is>
      </c>
      <c r="F33" s="4" t="inlineStr">
        <is>
          <t>High</t>
        </is>
      </c>
      <c r="G33" s="14" t="inlineStr">
        <is>
          <t>High</t>
        </is>
      </c>
      <c r="H33" s="4" t="inlineStr">
        <is>
          <t>DOC-V04, API-V05, DB-08</t>
        </is>
      </c>
      <c r="I33" s="4" t="inlineStr">
        <is>
          <t>TC-DOC-V04, TC-API-V05, TC-DB-08</t>
        </is>
      </c>
      <c r="J33" s="4">
        <f>COUNTIF('Test Cases'!$F$5:$F$110,"*"&amp;A33&amp;"*")</f>
        <v/>
      </c>
    </row>
    <row r="34">
      <c r="A34" s="4" t="inlineStr">
        <is>
          <t>R30</t>
        </is>
      </c>
      <c r="B34" s="4" t="inlineStr">
        <is>
          <t>Documents / Validation</t>
        </is>
      </c>
      <c r="C34" s="4" t="inlineStr">
        <is>
          <t>UI/API</t>
        </is>
      </c>
      <c r="D34" s="4" t="inlineStr">
        <is>
          <t>Unsupported file type or oversize file accepted</t>
        </is>
      </c>
      <c r="E34" s="4" t="inlineStr">
        <is>
          <t>Medium</t>
        </is>
      </c>
      <c r="F34" s="4" t="inlineStr">
        <is>
          <t>Medium</t>
        </is>
      </c>
      <c r="G34" s="16" t="inlineStr">
        <is>
          <t>Medium</t>
        </is>
      </c>
      <c r="H34" s="4" t="inlineStr">
        <is>
          <t>DOC-V02, V03, API-V10</t>
        </is>
      </c>
      <c r="I34" s="4" t="inlineStr">
        <is>
          <t>TC-CLI-V09, TC-DOC-V01, TC-DOC-V02, TC-DOC-V03, TC-API-V10</t>
        </is>
      </c>
      <c r="J34" s="4">
        <f>COUNTIF('Test Cases'!$F$5:$F$110,"*"&amp;A34&amp;"*")</f>
        <v/>
      </c>
    </row>
    <row r="35">
      <c r="A35" s="4" t="inlineStr">
        <is>
          <t>R31</t>
        </is>
      </c>
      <c r="B35" s="4" t="inlineStr">
        <is>
          <t>Documents / Validation</t>
        </is>
      </c>
      <c r="C35" s="4" t="inlineStr">
        <is>
          <t>UI</t>
        </is>
      </c>
      <c r="D35" s="4" t="inlineStr">
        <is>
          <t>Submit button enabled while validation errors exist</t>
        </is>
      </c>
      <c r="E35" s="4" t="inlineStr">
        <is>
          <t>Medium</t>
        </is>
      </c>
      <c r="F35" s="4" t="inlineStr">
        <is>
          <t>High</t>
        </is>
      </c>
      <c r="G35" s="14" t="inlineStr">
        <is>
          <t>High</t>
        </is>
      </c>
      <c r="H35" s="4" t="inlineStr">
        <is>
          <t>VAL-V03</t>
        </is>
      </c>
      <c r="I35" s="4" t="inlineStr">
        <is>
          <t>TC-VAL-V03</t>
        </is>
      </c>
      <c r="J35" s="4">
        <f>COUNTIF('Test Cases'!$F$5:$F$110,"*"&amp;A35&amp;"*")</f>
        <v/>
      </c>
    </row>
    <row r="36">
      <c r="A36" s="4" t="inlineStr">
        <is>
          <t>R32</t>
        </is>
      </c>
      <c r="B36" s="4" t="inlineStr">
        <is>
          <t>Documents / Validation</t>
        </is>
      </c>
      <c r="C36" s="4" t="inlineStr">
        <is>
          <t>UI</t>
        </is>
      </c>
      <c r="D36" s="4" t="inlineStr">
        <is>
          <t>Validation summary incomplete or navigation wrong</t>
        </is>
      </c>
      <c r="E36" s="4" t="inlineStr">
        <is>
          <t>Low</t>
        </is>
      </c>
      <c r="F36" s="4" t="inlineStr">
        <is>
          <t>Low</t>
        </is>
      </c>
      <c r="G36" s="13" t="inlineStr">
        <is>
          <t>Low</t>
        </is>
      </c>
      <c r="H36" s="4" t="inlineStr">
        <is>
          <t>VAL-V01, V02</t>
        </is>
      </c>
      <c r="I36" s="4" t="inlineStr">
        <is>
          <t>TC-VAL-V01, TC-VAL-V02</t>
        </is>
      </c>
      <c r="J36" s="4">
        <f>COUNTIF('Test Cases'!$F$5:$F$110,"*"&amp;A36&amp;"*")</f>
        <v/>
      </c>
    </row>
    <row r="37">
      <c r="A37" s="4" t="inlineStr">
        <is>
          <t>R33</t>
        </is>
      </c>
      <c r="B37" s="4" t="inlineStr">
        <is>
          <t>Submission / Status</t>
        </is>
      </c>
      <c r="C37" s="4" t="inlineStr">
        <is>
          <t>UI/DB</t>
        </is>
      </c>
      <c r="D37" s="4" t="inlineStr">
        <is>
          <t>Draft data not persisted correctly</t>
        </is>
      </c>
      <c r="E37" s="4" t="inlineStr">
        <is>
          <t>Medium</t>
        </is>
      </c>
      <c r="F37" s="4" t="inlineStr">
        <is>
          <t>High</t>
        </is>
      </c>
      <c r="G37" s="14" t="inlineStr">
        <is>
          <t>High</t>
        </is>
      </c>
      <c r="H37" s="4" t="inlineStr">
        <is>
          <t>WF-V01, V02, DB-01</t>
        </is>
      </c>
      <c r="I37" s="4" t="inlineStr">
        <is>
          <t>TC-PROD-V11, TC-WF-V01, TC-WF-V02, TC-DB-01</t>
        </is>
      </c>
      <c r="J37" s="4">
        <f>COUNTIF('Test Cases'!$F$5:$F$110,"*"&amp;A37&amp;"*")</f>
        <v/>
      </c>
    </row>
    <row r="38">
      <c r="A38" s="4" t="inlineStr">
        <is>
          <t>R34</t>
        </is>
      </c>
      <c r="B38" s="4" t="inlineStr">
        <is>
          <t>Submission / Status</t>
        </is>
      </c>
      <c r="C38" s="4" t="inlineStr">
        <is>
          <t>API/DB</t>
        </is>
      </c>
      <c r="D38" s="4" t="inlineStr">
        <is>
          <t>Wrong status transition or missing/duplicate reference number</t>
        </is>
      </c>
      <c r="E38" s="4" t="inlineStr">
        <is>
          <t>Low</t>
        </is>
      </c>
      <c r="F38" s="4" t="inlineStr">
        <is>
          <t>High</t>
        </is>
      </c>
      <c r="G38" s="16" t="inlineStr">
        <is>
          <t>Medium</t>
        </is>
      </c>
      <c r="H38" s="4" t="inlineStr">
        <is>
          <t>WF-V03, DB-02</t>
        </is>
      </c>
      <c r="I38" s="4" t="inlineStr">
        <is>
          <t>TC-WF-V03, TC-WF-V05, TC-WF-V06, TC-WF-V07, TC-API-V11, TC-DB-02</t>
        </is>
      </c>
      <c r="J38" s="4">
        <f>COUNTIF('Test Cases'!$F$5:$F$110,"*"&amp;A38&amp;"*")</f>
        <v/>
      </c>
    </row>
    <row r="39">
      <c r="A39" s="4" t="inlineStr">
        <is>
          <t>R35</t>
        </is>
      </c>
      <c r="B39" s="4" t="inlineStr">
        <is>
          <t>Submission / Status</t>
        </is>
      </c>
      <c r="C39" s="4" t="inlineStr">
        <is>
          <t>API</t>
        </is>
      </c>
      <c r="D39" s="4" t="inlineStr">
        <is>
          <t>Incomplete application accepted by submit API</t>
        </is>
      </c>
      <c r="E39" s="4" t="inlineStr">
        <is>
          <t>Medium</t>
        </is>
      </c>
      <c r="F39" s="4" t="inlineStr">
        <is>
          <t>High</t>
        </is>
      </c>
      <c r="G39" s="14" t="inlineStr">
        <is>
          <t>High</t>
        </is>
      </c>
      <c r="H39" s="4" t="inlineStr">
        <is>
          <t>API-V05</t>
        </is>
      </c>
      <c r="I39" s="4" t="inlineStr">
        <is>
          <t>TC-API-V05</t>
        </is>
      </c>
      <c r="J39" s="4">
        <f>COUNTIF('Test Cases'!$F$5:$F$110,"*"&amp;A39&amp;"*")</f>
        <v/>
      </c>
    </row>
    <row r="40">
      <c r="A40" s="4" t="inlineStr">
        <is>
          <t>R36</t>
        </is>
      </c>
      <c r="B40" s="4" t="inlineStr">
        <is>
          <t>Submission / Status</t>
        </is>
      </c>
      <c r="C40" s="4" t="inlineStr">
        <is>
          <t>UI</t>
        </is>
      </c>
      <c r="D40" s="4" t="inlineStr">
        <is>
          <t>Submitted application remains editable</t>
        </is>
      </c>
      <c r="E40" s="4" t="inlineStr">
        <is>
          <t>Low</t>
        </is>
      </c>
      <c r="F40" s="4" t="inlineStr">
        <is>
          <t>Medium</t>
        </is>
      </c>
      <c r="G40" s="13" t="inlineStr">
        <is>
          <t>Low</t>
        </is>
      </c>
      <c r="H40" s="4" t="inlineStr">
        <is>
          <t>WF-V04</t>
        </is>
      </c>
      <c r="I40" s="4" t="inlineStr">
        <is>
          <t>TC-WF-V04</t>
        </is>
      </c>
      <c r="J40" s="4">
        <f>COUNTIF('Test Cases'!$F$5:$F$110,"*"&amp;A40&amp;"*")</f>
        <v/>
      </c>
    </row>
    <row r="41">
      <c r="A41" s="4" t="inlineStr">
        <is>
          <t>R37</t>
        </is>
      </c>
      <c r="B41" s="4" t="inlineStr">
        <is>
          <t>Cross-cutting</t>
        </is>
      </c>
      <c r="C41" s="4" t="inlineStr">
        <is>
          <t>UI/API</t>
        </is>
      </c>
      <c r="D41" s="4" t="inlineStr">
        <is>
          <t>API validation differs from UI validation</t>
        </is>
      </c>
      <c r="E41" s="4" t="inlineStr">
        <is>
          <t>Medium</t>
        </is>
      </c>
      <c r="F41" s="4" t="inlineStr">
        <is>
          <t>High</t>
        </is>
      </c>
      <c r="G41" s="14" t="inlineStr">
        <is>
          <t>High</t>
        </is>
      </c>
      <c r="H41" s="4" t="inlineStr">
        <is>
          <t>API-V12</t>
        </is>
      </c>
      <c r="I41" s="4" t="inlineStr">
        <is>
          <t>TC-API-V01, TC-API-V07, TC-API-V09, TC-API-V12</t>
        </is>
      </c>
      <c r="J41" s="4">
        <f>COUNTIF('Test Cases'!$F$5:$F$110,"*"&amp;A41&amp;"*")</f>
        <v/>
      </c>
    </row>
    <row r="42">
      <c r="A42" s="4" t="inlineStr">
        <is>
          <t>R38</t>
        </is>
      </c>
      <c r="B42" s="4" t="inlineStr">
        <is>
          <t>Cross-cutting</t>
        </is>
      </c>
      <c r="C42" s="4" t="inlineStr">
        <is>
          <t>Framework</t>
        </is>
      </c>
      <c r="D42" s="4" t="inlineStr">
        <is>
          <t>Failures hard to debug (inconsistent screenshots, traces, reports)</t>
        </is>
      </c>
      <c r="E42" s="4" t="inlineStr">
        <is>
          <t>Medium</t>
        </is>
      </c>
      <c r="F42" s="4" t="inlineStr">
        <is>
          <t>Medium</t>
        </is>
      </c>
      <c r="G42" s="16" t="inlineStr">
        <is>
          <t>Medium</t>
        </is>
      </c>
      <c r="H42" s="4" t="inlineStr">
        <is>
          <t>FW-01</t>
        </is>
      </c>
      <c r="I42" s="4" t="inlineStr">
        <is>
          <t>TC-FW-01</t>
        </is>
      </c>
      <c r="J42" s="4">
        <f>COUNTIF('Test Cases'!$F$5:$F$110,"*"&amp;A42&amp;"*")</f>
        <v/>
      </c>
    </row>
    <row r="43">
      <c r="A43" s="4" t="inlineStr">
        <is>
          <t>R39</t>
        </is>
      </c>
      <c r="B43" s="4" t="inlineStr">
        <is>
          <t>Cross-cutting</t>
        </is>
      </c>
      <c r="C43" s="4" t="inlineStr">
        <is>
          <t>Environment</t>
        </is>
      </c>
      <c r="D43" s="4" t="inlineStr">
        <is>
          <t>Shared lab instability, SSO or network restrictions block runs</t>
        </is>
      </c>
      <c r="E43" s="4" t="inlineStr">
        <is>
          <t>Medium</t>
        </is>
      </c>
      <c r="F43" s="4" t="inlineStr">
        <is>
          <t>Medium</t>
        </is>
      </c>
      <c r="G43" s="16" t="inlineStr">
        <is>
          <t>Medium</t>
        </is>
      </c>
      <c r="H43" s="4" t="inlineStr">
        <is>
          <t>FW-02</t>
        </is>
      </c>
      <c r="I43" s="4" t="inlineStr">
        <is>
          <t>TC-FW-02, TC-FW-04</t>
        </is>
      </c>
      <c r="J43" s="4">
        <f>COUNTIF('Test Cases'!$F$5:$F$110,"*"&amp;A43&amp;"*")</f>
        <v/>
      </c>
    </row>
    <row r="44">
      <c r="A44" s="4" t="inlineStr">
        <is>
          <t>R40</t>
        </is>
      </c>
      <c r="B44" s="4" t="inlineStr">
        <is>
          <t>Cross-cutting</t>
        </is>
      </c>
      <c r="C44" s="4" t="inlineStr">
        <is>
          <t>Test data</t>
        </is>
      </c>
      <c r="D44" s="4" t="inlineStr">
        <is>
          <t>Seeded data collisions or exhausted users in parallel runs</t>
        </is>
      </c>
      <c r="E44" s="4" t="inlineStr">
        <is>
          <t>Medium</t>
        </is>
      </c>
      <c r="F44" s="4" t="inlineStr">
        <is>
          <t>Medium</t>
        </is>
      </c>
      <c r="G44" s="16" t="inlineStr">
        <is>
          <t>Medium</t>
        </is>
      </c>
      <c r="H44" s="4" t="inlineStr">
        <is>
          <t>FW-03</t>
        </is>
      </c>
      <c r="I44" s="4" t="inlineStr">
        <is>
          <t>TC-FW-03</t>
        </is>
      </c>
      <c r="J44" s="4">
        <f>COUNTIF('Test Cases'!$F$5:$F$110,"*"&amp;A44&amp;"*")</f>
        <v/>
      </c>
    </row>
    <row r="45">
      <c r="A45" s="4" t="inlineStr">
        <is>
          <t>R41</t>
        </is>
      </c>
      <c r="B45" s="4" t="inlineStr">
        <is>
          <t>Cross-cutting</t>
        </is>
      </c>
      <c r="C45" s="4" t="inlineStr">
        <is>
          <t>DB</t>
        </is>
      </c>
      <c r="D45" s="4" t="inlineStr">
        <is>
          <t>Database access or schema not available for backend validation</t>
        </is>
      </c>
      <c r="E45" s="4" t="inlineStr">
        <is>
          <t>Medium</t>
        </is>
      </c>
      <c r="F45" s="4" t="inlineStr">
        <is>
          <t>Medium</t>
        </is>
      </c>
      <c r="G45" s="16" t="inlineStr">
        <is>
          <t>Medium</t>
        </is>
      </c>
      <c r="H45" s="4" t="inlineStr">
        <is>
          <t>DB-01..DB-10</t>
        </is>
      </c>
      <c r="I45" s="4" t="inlineStr">
        <is>
          <t>TC-DB-01, TC-DB-02, TC-DB-03, TC-DB-04, TC-DB-05, TC-DB-06, TC-DB-07, TC-DB-08, TC-DB-09, TC-DB-10</t>
        </is>
      </c>
      <c r="J45" s="4">
        <f>COUNTIF('Test Cases'!$F$5:$F$110,"*"&amp;A45&amp;"*")</f>
        <v/>
      </c>
    </row>
    <row r="47">
      <c r="A47" s="9" t="inlineStr">
        <is>
          <t>Risks with no test case</t>
        </is>
      </c>
      <c r="D47" s="8">
        <f>COUNTIF(J5:J45,0)</f>
        <v/>
      </c>
    </row>
  </sheetData>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H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52" customWidth="1" min="3" max="3"/>
    <col width="20" customWidth="1" min="4" max="4"/>
    <col width="60" customWidth="1" min="5" max="5"/>
    <col width="11" customWidth="1" min="6" max="6"/>
    <col width="22" customWidth="1" min="7" max="7"/>
    <col width="16" customWidth="1" min="8" max="8"/>
  </cols>
  <sheetData>
    <row r="1">
      <c r="A1" s="1" t="inlineStr">
        <is>
          <t>Traceability: seeded-defect themes (20 reported issues) to test cases</t>
        </is>
      </c>
    </row>
    <row r="2">
      <c r="A2" s="2" t="inlineStr">
        <is>
          <t>SDC = "seeded-defect-candidate" id used by the third project's tests. The official DEF-* catalogue codes have still not been received. Column D holds the SDC id where a tagged test matches the theme; RI-03, RI-09, RI-11 and RI-20 have none yet. Detection status is only set from evidence: the live runs never reached the validation rules, so almost everything is Not run.</t>
        </is>
      </c>
    </row>
    <row r="4" ht="32" customHeight="1">
      <c r="A4" s="3" t="inlineStr">
        <is>
          <t>Reported Issue ID</t>
        </is>
      </c>
      <c r="B4" s="3" t="inlineStr">
        <is>
          <t>Module</t>
        </is>
      </c>
      <c r="C4" s="3" t="inlineStr">
        <is>
          <t>Description</t>
        </is>
      </c>
      <c r="D4" s="3" t="inlineStr">
        <is>
          <t>Seeded Defect Catalog Code (fill)</t>
        </is>
      </c>
      <c r="E4" s="3" t="inlineStr">
        <is>
          <t>Linked Test Cases</t>
        </is>
      </c>
      <c r="F4" s="3" t="inlineStr">
        <is>
          <t># Test Cases</t>
        </is>
      </c>
      <c r="G4" s="3" t="inlineStr">
        <is>
          <t>Detected in run? (fill: Detected / Not detected / Not run)</t>
        </is>
      </c>
      <c r="H4" s="3" t="inlineStr">
        <is>
          <t>Defect Log ID (fill)</t>
        </is>
      </c>
    </row>
    <row r="5">
      <c r="A5" s="4" t="inlineStr">
        <is>
          <t>RI-01</t>
        </is>
      </c>
      <c r="B5" s="4" t="inlineStr">
        <is>
          <t>Authentication</t>
        </is>
      </c>
      <c r="C5" s="4" t="inlineStr">
        <is>
          <t>Valid agents cannot log in after authentication changes</t>
        </is>
      </c>
      <c r="D5" s="11" t="inlineStr">
        <is>
          <t>SDC-01</t>
        </is>
      </c>
      <c r="E5" s="4" t="inlineStr">
        <is>
          <t>TC-AUTH-V01</t>
        </is>
      </c>
      <c r="F5" s="4">
        <f>COUNTIF('Test Cases'!$G$5:$G$110,"*"&amp;A5&amp;"*")</f>
        <v/>
      </c>
      <c r="G5" s="11" t="inlineStr">
        <is>
          <t>Not detected</t>
        </is>
      </c>
      <c r="H5" s="11" t="inlineStr"/>
    </row>
    <row r="6">
      <c r="A6" s="4" t="inlineStr">
        <is>
          <t>RI-02</t>
        </is>
      </c>
      <c r="B6" s="4" t="inlineStr">
        <is>
          <t>Authentication</t>
        </is>
      </c>
      <c r="C6" s="4" t="inlineStr">
        <is>
          <t>Locked or invalid agents get incorrect / misleading messages</t>
        </is>
      </c>
      <c r="D6" s="11" t="inlineStr">
        <is>
          <t>SDC-02</t>
        </is>
      </c>
      <c r="E6" s="4" t="inlineStr">
        <is>
          <t>TC-AUTH-V02, TC-AUTH-V06, TC-AUTH-V07</t>
        </is>
      </c>
      <c r="F6" s="4">
        <f>COUNTIF('Test Cases'!$G$5:$G$110,"*"&amp;A6&amp;"*")</f>
        <v/>
      </c>
      <c r="G6" s="11" t="inlineStr">
        <is>
          <t>Not run</t>
        </is>
      </c>
      <c r="H6" s="11" t="inlineStr">
        <is>
          <t>AD-07</t>
        </is>
      </c>
    </row>
    <row r="7">
      <c r="A7" s="4" t="inlineStr">
        <is>
          <t>RI-03</t>
        </is>
      </c>
      <c r="B7" s="4" t="inlineStr">
        <is>
          <t>Authentication</t>
        </is>
      </c>
      <c r="C7" s="4" t="inlineStr">
        <is>
          <t>Password policy not consistently enforced</t>
        </is>
      </c>
      <c r="D7" s="11" t="inlineStr"/>
      <c r="E7" s="4" t="inlineStr">
        <is>
          <t>TC-AUTH-V08, TC-AUTH-V13</t>
        </is>
      </c>
      <c r="F7" s="4">
        <f>COUNTIF('Test Cases'!$G$5:$G$110,"*"&amp;A7&amp;"*")</f>
        <v/>
      </c>
      <c r="G7" s="11" t="inlineStr">
        <is>
          <t>Not run</t>
        </is>
      </c>
      <c r="H7" s="11" t="inlineStr"/>
    </row>
    <row r="8">
      <c r="A8" s="4" t="inlineStr">
        <is>
          <t>RI-04</t>
        </is>
      </c>
      <c r="B8" s="4" t="inlineStr">
        <is>
          <t>Client / KYC</t>
        </is>
      </c>
      <c r="C8" s="4" t="inlineStr">
        <is>
          <t>Client age eligibility rules (18-65) missed</t>
        </is>
      </c>
      <c r="D8" s="11" t="inlineStr">
        <is>
          <t>SDC-04</t>
        </is>
      </c>
      <c r="E8" s="4" t="inlineStr">
        <is>
          <t>TC-CLI-V03, TC-CLI-V04, TC-CLI-V13</t>
        </is>
      </c>
      <c r="F8" s="4">
        <f>COUNTIF('Test Cases'!$G$5:$G$110,"*"&amp;A8&amp;"*")</f>
        <v/>
      </c>
      <c r="G8" s="11" t="inlineStr">
        <is>
          <t>Not run</t>
        </is>
      </c>
      <c r="H8" s="11" t="inlineStr">
        <is>
          <t>AC-04</t>
        </is>
      </c>
    </row>
    <row r="9">
      <c r="A9" s="4" t="inlineStr">
        <is>
          <t>RI-05</t>
        </is>
      </c>
      <c r="B9" s="4" t="inlineStr">
        <is>
          <t>Client / KYC</t>
        </is>
      </c>
      <c r="C9" s="4" t="inlineStr">
        <is>
          <t>Future date of birth accepted</t>
        </is>
      </c>
      <c r="D9" s="11" t="inlineStr">
        <is>
          <t>SDC-05</t>
        </is>
      </c>
      <c r="E9" s="4" t="inlineStr">
        <is>
          <t>TC-CLI-V05, TC-API-V03, TC-API-V12</t>
        </is>
      </c>
      <c r="F9" s="4">
        <f>COUNTIF('Test Cases'!$G$5:$G$110,"*"&amp;A9&amp;"*")</f>
        <v/>
      </c>
      <c r="G9" s="11" t="inlineStr">
        <is>
          <t>Not run</t>
        </is>
      </c>
      <c r="H9" s="11" t="inlineStr"/>
    </row>
    <row r="10">
      <c r="A10" s="4" t="inlineStr">
        <is>
          <t>RI-06</t>
        </is>
      </c>
      <c r="B10" s="4" t="inlineStr">
        <is>
          <t>Documents / Validation</t>
        </is>
      </c>
      <c r="C10" s="4" t="inlineStr">
        <is>
          <t>Mandatory KYC documents not enforced</t>
        </is>
      </c>
      <c r="D10" s="11" t="inlineStr">
        <is>
          <t>SDC-06</t>
        </is>
      </c>
      <c r="E10" s="4" t="inlineStr">
        <is>
          <t>TC-DOC-V04, TC-API-V05</t>
        </is>
      </c>
      <c r="F10" s="4">
        <f>COUNTIF('Test Cases'!$G$5:$G$110,"*"&amp;A10&amp;"*")</f>
        <v/>
      </c>
      <c r="G10" s="11" t="inlineStr">
        <is>
          <t>Not run</t>
        </is>
      </c>
      <c r="H10" s="11" t="inlineStr"/>
    </row>
    <row r="11">
      <c r="A11" s="4" t="inlineStr">
        <is>
          <t>RI-07</t>
        </is>
      </c>
      <c r="B11" s="4" t="inlineStr">
        <is>
          <t>Client / KYC</t>
        </is>
      </c>
      <c r="C11" s="4" t="inlineStr">
        <is>
          <t>SSN not masked properly</t>
        </is>
      </c>
      <c r="D11" s="11" t="inlineStr">
        <is>
          <t>SDC-07</t>
        </is>
      </c>
      <c r="E11" s="4" t="inlineStr">
        <is>
          <t>TC-CLI-V08</t>
        </is>
      </c>
      <c r="F11" s="4">
        <f>COUNTIF('Test Cases'!$G$5:$G$110,"*"&amp;A11&amp;"*")</f>
        <v/>
      </c>
      <c r="G11" s="11" t="inlineStr">
        <is>
          <t>Not run</t>
        </is>
      </c>
      <c r="H11" s="11" t="inlineStr">
        <is>
          <t>AD-08</t>
        </is>
      </c>
    </row>
    <row r="12">
      <c r="A12" s="4" t="inlineStr">
        <is>
          <t>RI-08</t>
        </is>
      </c>
      <c r="B12" s="4" t="inlineStr">
        <is>
          <t>Client / KYC</t>
        </is>
      </c>
      <c r="C12" s="4" t="inlineStr">
        <is>
          <t>Income vs premium affordability not applied</t>
        </is>
      </c>
      <c r="D12" s="11" t="inlineStr">
        <is>
          <t>SDC-08</t>
        </is>
      </c>
      <c r="E12" s="4" t="inlineStr">
        <is>
          <t>TC-CLI-V12</t>
        </is>
      </c>
      <c r="F12" s="4">
        <f>COUNTIF('Test Cases'!$G$5:$G$110,"*"&amp;A12&amp;"*")</f>
        <v/>
      </c>
      <c r="G12" s="11" t="inlineStr">
        <is>
          <t>Not run</t>
        </is>
      </c>
      <c r="H12" s="11" t="inlineStr"/>
    </row>
    <row r="13">
      <c r="A13" s="4" t="inlineStr">
        <is>
          <t>RI-09</t>
        </is>
      </c>
      <c r="B13" s="4" t="inlineStr">
        <is>
          <t>Product / Policy</t>
        </is>
      </c>
      <c r="C13" s="4" t="inlineStr">
        <is>
          <t>Product eligibility not validated against age / suitability</t>
        </is>
      </c>
      <c r="D13" s="11" t="inlineStr"/>
      <c r="E13" s="4" t="inlineStr">
        <is>
          <t>TC-PROD-V07, TC-PROD-V08</t>
        </is>
      </c>
      <c r="F13" s="4">
        <f>COUNTIF('Test Cases'!$G$5:$G$110,"*"&amp;A13&amp;"*")</f>
        <v/>
      </c>
      <c r="G13" s="11" t="inlineStr">
        <is>
          <t>Not run</t>
        </is>
      </c>
      <c r="H13" s="11" t="inlineStr"/>
    </row>
    <row r="14">
      <c r="A14" s="4" t="inlineStr">
        <is>
          <t>RI-10</t>
        </is>
      </c>
      <c r="B14" s="4" t="inlineStr">
        <is>
          <t>Riders</t>
        </is>
      </c>
      <c r="C14" s="4" t="inlineStr">
        <is>
          <t>Rider coverage exceeds base face value</t>
        </is>
      </c>
      <c r="D14" s="11" t="inlineStr">
        <is>
          <t>SDC-10</t>
        </is>
      </c>
      <c r="E14" s="4" t="inlineStr">
        <is>
          <t>TC-RIDER-V02</t>
        </is>
      </c>
      <c r="F14" s="4">
        <f>COUNTIF('Test Cases'!$G$5:$G$110,"*"&amp;A14&amp;"*")</f>
        <v/>
      </c>
      <c r="G14" s="11" t="inlineStr">
        <is>
          <t>Not run</t>
        </is>
      </c>
      <c r="H14" s="11" t="inlineStr"/>
    </row>
    <row r="15">
      <c r="A15" s="4" t="inlineStr">
        <is>
          <t>RI-11</t>
        </is>
      </c>
      <c r="B15" s="4" t="inlineStr">
        <is>
          <t>Riders</t>
        </is>
      </c>
      <c r="C15" s="4" t="inlineStr">
        <is>
          <t>Exclusive waiver riders both selectable</t>
        </is>
      </c>
      <c r="D15" s="11" t="inlineStr"/>
      <c r="E15" s="4" t="inlineStr">
        <is>
          <t>TC-RIDER-V05</t>
        </is>
      </c>
      <c r="F15" s="4">
        <f>COUNTIF('Test Cases'!$G$5:$G$110,"*"&amp;A15&amp;"*")</f>
        <v/>
      </c>
      <c r="G15" s="11" t="inlineStr">
        <is>
          <t>Not run</t>
        </is>
      </c>
      <c r="H15" s="11" t="inlineStr"/>
    </row>
    <row r="16">
      <c r="A16" s="4" t="inlineStr">
        <is>
          <t>RI-12</t>
        </is>
      </c>
      <c r="B16" s="4" t="inlineStr">
        <is>
          <t>Product / Policy</t>
        </is>
      </c>
      <c r="C16" s="4" t="inlineStr">
        <is>
          <t>Premium not updated after configuration change</t>
        </is>
      </c>
      <c r="D16" s="11" t="inlineStr">
        <is>
          <t>SDC-12</t>
        </is>
      </c>
      <c r="E16" s="4" t="inlineStr">
        <is>
          <t>TC-PROD-V05, TC-PROD-V06, TC-RIDER-V07</t>
        </is>
      </c>
      <c r="F16" s="4">
        <f>COUNTIF('Test Cases'!$G$5:$G$110,"*"&amp;A16&amp;"*")</f>
        <v/>
      </c>
      <c r="G16" s="11" t="inlineStr">
        <is>
          <t>Not run</t>
        </is>
      </c>
      <c r="H16" s="11" t="inlineStr">
        <is>
          <t>AD-13</t>
        </is>
      </c>
    </row>
    <row r="17">
      <c r="A17" s="4" t="inlineStr">
        <is>
          <t>RI-13</t>
        </is>
      </c>
      <c r="B17" s="4" t="inlineStr">
        <is>
          <t>Beneficiaries</t>
        </is>
      </c>
      <c r="C17" s="4" t="inlineStr">
        <is>
          <t>Allocation below / above 100% allowed</t>
        </is>
      </c>
      <c r="D17" s="11" t="inlineStr">
        <is>
          <t>SDC-13</t>
        </is>
      </c>
      <c r="E17" s="4" t="inlineStr">
        <is>
          <t>TC-BEN-V02, TC-BEN-V03, TC-API-V04</t>
        </is>
      </c>
      <c r="F17" s="4">
        <f>COUNTIF('Test Cases'!$G$5:$G$110,"*"&amp;A17&amp;"*")</f>
        <v/>
      </c>
      <c r="G17" s="11" t="inlineStr">
        <is>
          <t>Not run</t>
        </is>
      </c>
      <c r="H17" s="11" t="inlineStr"/>
    </row>
    <row r="18">
      <c r="A18" s="4" t="inlineStr">
        <is>
          <t>RI-14</t>
        </is>
      </c>
      <c r="B18" s="4" t="inlineStr">
        <is>
          <t>Beneficiaries</t>
        </is>
      </c>
      <c r="C18" s="4" t="inlineStr">
        <is>
          <t>Minor beneficiary guardian not required</t>
        </is>
      </c>
      <c r="D18" s="11" t="inlineStr">
        <is>
          <t>SDC-14</t>
        </is>
      </c>
      <c r="E18" s="4" t="inlineStr">
        <is>
          <t>TC-BEN-V05</t>
        </is>
      </c>
      <c r="F18" s="4">
        <f>COUNTIF('Test Cases'!$G$5:$G$110,"*"&amp;A18&amp;"*")</f>
        <v/>
      </c>
      <c r="G18" s="11" t="inlineStr">
        <is>
          <t>Not run</t>
        </is>
      </c>
      <c r="H18" s="11" t="inlineStr"/>
    </row>
    <row r="19">
      <c r="A19" s="4" t="inlineStr">
        <is>
          <t>RI-15</t>
        </is>
      </c>
      <c r="B19" s="4" t="inlineStr">
        <is>
          <t>Beneficiaries</t>
        </is>
      </c>
      <c r="C19" s="4" t="inlineStr">
        <is>
          <t>Duplicate beneficiaries not blocked</t>
        </is>
      </c>
      <c r="D19" s="11" t="inlineStr">
        <is>
          <t>SDC-15</t>
        </is>
      </c>
      <c r="E19" s="4" t="inlineStr">
        <is>
          <t>TC-BEN-V08</t>
        </is>
      </c>
      <c r="F19" s="4">
        <f>COUNTIF('Test Cases'!$G$5:$G$110,"*"&amp;A19&amp;"*")</f>
        <v/>
      </c>
      <c r="G19" s="11" t="inlineStr">
        <is>
          <t>Not run</t>
        </is>
      </c>
      <c r="H19" s="11" t="inlineStr"/>
    </row>
    <row r="20">
      <c r="A20" s="4" t="inlineStr">
        <is>
          <t>RI-16</t>
        </is>
      </c>
      <c r="B20" s="4" t="inlineStr">
        <is>
          <t>Submission / Status</t>
        </is>
      </c>
      <c r="C20" s="4" t="inlineStr">
        <is>
          <t>Draft data not persisted</t>
        </is>
      </c>
      <c r="D20" s="11" t="inlineStr">
        <is>
          <t>SDC-16</t>
        </is>
      </c>
      <c r="E20" s="4" t="inlineStr">
        <is>
          <t>TC-DASH-V04, TC-PROD-V11, TC-WF-V01, TC-WF-V02</t>
        </is>
      </c>
      <c r="F20" s="4">
        <f>COUNTIF('Test Cases'!$G$5:$G$110,"*"&amp;A20&amp;"*")</f>
        <v/>
      </c>
      <c r="G20" s="11" t="inlineStr">
        <is>
          <t>Not run</t>
        </is>
      </c>
      <c r="H20" s="11" t="inlineStr"/>
    </row>
    <row r="21">
      <c r="A21" s="4" t="inlineStr">
        <is>
          <t>RI-17</t>
        </is>
      </c>
      <c r="B21" s="4" t="inlineStr">
        <is>
          <t>Documents / Validation</t>
        </is>
      </c>
      <c r="C21" s="4" t="inlineStr">
        <is>
          <t>Submit enabled despite validation errors</t>
        </is>
      </c>
      <c r="D21" s="11" t="inlineStr">
        <is>
          <t>SDC-17</t>
        </is>
      </c>
      <c r="E21" s="4" t="inlineStr">
        <is>
          <t>TC-VAL-V03</t>
        </is>
      </c>
      <c r="F21" s="4">
        <f>COUNTIF('Test Cases'!$G$5:$G$110,"*"&amp;A21&amp;"*")</f>
        <v/>
      </c>
      <c r="G21" s="11" t="inlineStr">
        <is>
          <t>Not run</t>
        </is>
      </c>
      <c r="H21" s="11" t="inlineStr">
        <is>
          <t>AC-01</t>
        </is>
      </c>
    </row>
    <row r="22">
      <c r="A22" s="4" t="inlineStr">
        <is>
          <t>RI-18</t>
        </is>
      </c>
      <c r="B22" s="4" t="inlineStr">
        <is>
          <t>Dashboard</t>
        </is>
      </c>
      <c r="C22" s="4" t="inlineStr">
        <is>
          <t>Dashboard status differs from backend status</t>
        </is>
      </c>
      <c r="D22" s="11" t="inlineStr">
        <is>
          <t>SDC-18</t>
        </is>
      </c>
      <c r="E22" s="4" t="inlineStr">
        <is>
          <t>TC-DASH-V06, TC-WF-V06, TC-WF-V07, TC-API-V06</t>
        </is>
      </c>
      <c r="F22" s="4">
        <f>COUNTIF('Test Cases'!$G$5:$G$110,"*"&amp;A22&amp;"*")</f>
        <v/>
      </c>
      <c r="G22" s="11" t="inlineStr">
        <is>
          <t>Not run</t>
        </is>
      </c>
      <c r="H22" s="11" t="inlineStr"/>
    </row>
    <row r="23">
      <c r="A23" s="4" t="inlineStr">
        <is>
          <t>RI-19</t>
        </is>
      </c>
      <c r="B23" s="4" t="inlineStr">
        <is>
          <t>Cross-cutting</t>
        </is>
      </c>
      <c r="C23" s="4" t="inlineStr">
        <is>
          <t>API validation differs from UI validation</t>
        </is>
      </c>
      <c r="D23" s="11" t="inlineStr">
        <is>
          <t>SDC-19</t>
        </is>
      </c>
      <c r="E23" s="4" t="inlineStr">
        <is>
          <t>TC-API-V03, TC-API-V04, TC-API-V07, TC-API-V12</t>
        </is>
      </c>
      <c r="F23" s="4">
        <f>COUNTIF('Test Cases'!$G$5:$G$110,"*"&amp;A23&amp;"*")</f>
        <v/>
      </c>
      <c r="G23" s="11" t="inlineStr">
        <is>
          <t>Not run</t>
        </is>
      </c>
      <c r="H23" s="11" t="inlineStr">
        <is>
          <t>AD-03, AC-02</t>
        </is>
      </c>
    </row>
    <row r="24">
      <c r="A24" s="4" t="inlineStr">
        <is>
          <t>RI-20</t>
        </is>
      </c>
      <c r="B24" s="4" t="inlineStr">
        <is>
          <t>Cross-cutting</t>
        </is>
      </c>
      <c r="C24" s="4" t="inlineStr">
        <is>
          <t>Failures hard to debug (no consistent evidence)</t>
        </is>
      </c>
      <c r="D24" s="11" t="inlineStr"/>
      <c r="E24" s="4" t="inlineStr">
        <is>
          <t>TC-FW-01</t>
        </is>
      </c>
      <c r="F24" s="4">
        <f>COUNTIF('Test Cases'!$G$5:$G$110,"*"&amp;A24&amp;"*")</f>
        <v/>
      </c>
      <c r="G24" s="11" t="inlineStr">
        <is>
          <t>Not run</t>
        </is>
      </c>
      <c r="H24" s="11" t="inlineStr"/>
    </row>
    <row r="26">
      <c r="A26" s="9" t="inlineStr">
        <is>
          <t>Detection rate</t>
        </is>
      </c>
      <c r="C26" s="7">
        <f>IF(COUNTIF(G5:G24,"Detected")+COUNTIF(G5:G24,"Not detected")=0,"n/a",COUNTIF(G5:G24,"Detected")/(COUNTIF(G5:G24,"Detected")+COUNTIF(G5:G24,"Not detected")))</f>
        <v/>
      </c>
    </row>
  </sheetData>
  <dataValidations count="1">
    <dataValidation sqref="G5:G24" showDropDown="0" showInputMessage="0" showErrorMessage="0" allowBlank="1" type="list">
      <formula1>"Detected,Not detected,Not run"</formula1>
    </dataValidation>
  </dataValidations>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M18"/>
  <sheetViews>
    <sheetView showGridLines="0" workbookViewId="0">
      <selection activeCell="A1" sqref="A1"/>
    </sheetView>
  </sheetViews>
  <sheetFormatPr baseColWidth="8" defaultRowHeight="15"/>
  <cols>
    <col width="9" customWidth="1" min="1" max="1"/>
    <col width="17" customWidth="1" min="2" max="2"/>
    <col width="26" customWidth="1" min="3" max="3"/>
    <col width="40" customWidth="1" min="4" max="4"/>
    <col width="8" customWidth="1" min="5" max="5"/>
    <col width="8" customWidth="1" min="6" max="6"/>
    <col width="8" customWidth="1" min="7" max="7"/>
    <col width="9" customWidth="1" min="8" max="8"/>
    <col width="10" customWidth="1" min="9" max="9"/>
    <col width="12" customWidth="1" min="10" max="10"/>
    <col width="70" customWidth="1" min="11" max="11"/>
    <col width="14" customWidth="1" min="12" max="12"/>
    <col width="14" customWidth="1" min="13" max="13"/>
  </cols>
  <sheetData>
    <row r="1">
      <c r="A1" s="1" t="inlineStr">
        <is>
          <t>Live run results (lab VM) and failure classification</t>
        </is>
      </c>
    </row>
    <row r="2">
      <c r="A2" s="2" t="inlineStr">
        <is>
          <t>Only runs observed on the lab VM are recorded. Offline dry-runs against a mock application are NOT evidence about the application and are not listed.</t>
        </is>
      </c>
    </row>
    <row r="4" ht="32" customHeight="1">
      <c r="A4" s="3" t="inlineStr">
        <is>
          <t>Run</t>
        </is>
      </c>
      <c r="B4" s="3" t="inlineStr">
        <is>
          <t>When</t>
        </is>
      </c>
      <c r="C4" s="3" t="inlineStr">
        <is>
          <t>Scope</t>
        </is>
      </c>
      <c r="D4" s="3" t="inlineStr">
        <is>
          <t>Code under test</t>
        </is>
      </c>
      <c r="E4" s="3" t="inlineStr">
        <is>
          <t>Total</t>
        </is>
      </c>
      <c r="F4" s="3" t="inlineStr">
        <is>
          <t>Passed</t>
        </is>
      </c>
      <c r="G4" s="3" t="inlineStr">
        <is>
          <t>Failed</t>
        </is>
      </c>
      <c r="H4" s="3" t="inlineStr">
        <is>
          <t>Skipped</t>
        </is>
      </c>
      <c r="I4" s="3" t="inlineStr">
        <is>
          <t>Pass rate</t>
        </is>
      </c>
      <c r="J4" s="3" t="inlineStr">
        <is>
          <t>Duration (min)</t>
        </is>
      </c>
      <c r="K4" s="3" t="inlineStr">
        <is>
          <t>Notes</t>
        </is>
      </c>
      <c r="L4" s="3" t="inlineStr">
        <is>
          <t>Itemised Passed (formula)</t>
        </is>
      </c>
      <c r="M4" s="3" t="inlineStr">
        <is>
          <t>Itemised Failed (formula)</t>
        </is>
      </c>
    </row>
    <row r="5">
      <c r="A5" s="4" t="inlineStr">
        <is>
          <t>RUN-1</t>
        </is>
      </c>
      <c r="B5" s="4" t="inlineStr">
        <is>
          <t>2026-10-26 11:38</t>
        </is>
      </c>
      <c r="C5" s="4" t="inlineStr">
        <is>
          <t>Smoke (@smoke), chromium + api</t>
        </is>
      </c>
      <c r="D5" s="4" t="inlineStr">
        <is>
          <t>Merged repo v1 (guessed selectors, no Create Draft step)</t>
        </is>
      </c>
      <c r="E5" s="11" t="n">
        <v>15</v>
      </c>
      <c r="F5" s="11" t="n">
        <v>5</v>
      </c>
      <c r="G5" s="11" t="n">
        <v>10</v>
      </c>
      <c r="H5" s="11" t="n">
        <v>0</v>
      </c>
      <c r="I5" s="17">
        <f>IF(E5=0,"n/a",F5/E5)</f>
        <v/>
      </c>
      <c r="J5" s="4" t="n">
        <v>3.6</v>
      </c>
      <c r="K5" s="4" t="inlineStr">
        <is>
          <t>Failures are automation defects (see Defect Log AD-01..AD-04). Login and dashboard were correct.</t>
        </is>
      </c>
      <c r="L5" s="4">
        <f>COUNTIF('Test Cases'!$AB$5:$AB$110,"Passed")</f>
        <v/>
      </c>
      <c r="M5" s="4">
        <f>COUNTIF('Test Cases'!$AB$5:$AB$110,"Failed")</f>
        <v/>
      </c>
    </row>
    <row r="6">
      <c r="A6" s="4" t="inlineStr">
        <is>
          <t>RUN-2</t>
        </is>
      </c>
      <c r="B6" s="4" t="inlineStr">
        <is>
          <t>2026-10-26 11:51</t>
        </is>
      </c>
      <c r="C6" s="4" t="inlineStr">
        <is>
          <t>Full suite</t>
        </is>
      </c>
      <c r="D6" s="4" t="inlineStr">
        <is>
          <t>Merged repo v1 (same code as RUN-1)</t>
        </is>
      </c>
      <c r="E6" s="11" t="n">
        <v>96</v>
      </c>
      <c r="F6" s="11" t="n">
        <v>10</v>
      </c>
      <c r="G6" s="11" t="n">
        <v>73</v>
      </c>
      <c r="H6" s="11" t="n">
        <v>13</v>
      </c>
      <c r="I6" s="17">
        <f>IF(E6=0,"n/a",F6/E6)</f>
        <v/>
      </c>
      <c r="J6" s="4" t="n">
        <v>14.1</v>
      </c>
      <c r="K6" s="4" t="inlineStr">
        <is>
          <t>Passed: AUTH-V01/V02/V03/V05/V11/V14 and FW-01..04. AUTH-V04 and DASH-V01 passed in RUN-1 but are not in RUN-2's passed list - failure text not captured (see AD-11).</t>
        </is>
      </c>
      <c r="L6" s="4">
        <f>COUNTIF('Test Cases'!$AC$5:$AC$110,"Passed")</f>
        <v/>
      </c>
      <c r="M6" s="4">
        <f>COUNTIF('Test Cases'!$AC$5:$AC$110,"Failed")</f>
        <v/>
      </c>
    </row>
    <row r="7">
      <c r="A7" s="4" t="inlineStr">
        <is>
          <t>RUN-3</t>
        </is>
      </c>
      <c r="B7" s="4" t="inlineStr">
        <is>
          <t>2026-10-26 (after fixes)</t>
        </is>
      </c>
      <c r="C7" s="4" t="inlineStr">
        <is>
          <t>Smoke (@smoke), chromium + api</t>
        </is>
      </c>
      <c r="D7" s="4" t="inlineStr">
        <is>
          <t>Merged repo v2 (real ids, Create Draft step, learner account)</t>
        </is>
      </c>
      <c r="E7" s="11" t="n">
        <v>15</v>
      </c>
      <c r="F7" s="11" t="n">
        <v>7</v>
      </c>
      <c r="G7" s="11" t="n">
        <v>8</v>
      </c>
      <c r="H7" s="11" t="n">
        <v>0</v>
      </c>
      <c r="I7" s="17">
        <f>IF(E7=0,"n/a",F7/E7)</f>
        <v/>
      </c>
      <c r="J7" s="4" t="n">
        <v>3.7</v>
      </c>
      <c r="K7" s="4" t="inlineStr">
        <is>
          <t>CLI-V01 and PROD-V01 now pass, so the Create Draft step and the client/address/KYC/product ids work live. Remaining failures: product minimum (AD-09), API 404 (AD-11), first-login timeout (AD-10).</t>
        </is>
      </c>
      <c r="L7" s="4">
        <f>COUNTIF('Test Cases'!$AD$5:$AD$110,"Passed")</f>
        <v/>
      </c>
      <c r="M7" s="4">
        <f>COUNTIF('Test Cases'!$AD$5:$AD$110,"Failed")</f>
        <v/>
      </c>
    </row>
    <row r="8">
      <c r="A8" s="4" t="inlineStr">
        <is>
          <t>RUN-4</t>
        </is>
      </c>
      <c r="B8" s="4" t="inlineStr">
        <is>
          <t>2026-10-28 (after product / timeout / API-skip fixes)</t>
        </is>
      </c>
      <c r="C8" s="4" t="inlineStr">
        <is>
          <t>Smoke (@smoke), chromium + api</t>
        </is>
      </c>
      <c r="D8" s="4" t="inlineStr">
        <is>
          <t>Merged repo v3</t>
        </is>
      </c>
      <c r="E8" s="11" t="n">
        <v>15</v>
      </c>
      <c r="F8" s="11" t="n">
        <v>11</v>
      </c>
      <c r="G8" s="11" t="n">
        <v>2</v>
      </c>
      <c r="H8" s="11" t="n">
        <v>2</v>
      </c>
      <c r="I8" s="17">
        <f>IF(E8=0,"n/a",F8/E8)</f>
        <v/>
      </c>
      <c r="J8" s="4" t="n">
        <v>2.5</v>
      </c>
      <c r="K8" s="4" t="inlineStr">
        <is>
          <t>End-to-end submission (WF-V03), draft save (WF-V01), beneficiaries, documents and client info pass live. Failures: WF-V08 (over-specified review check, AD-12) and RIDER-V01 (premium summary not read, AD-13). API-V01/V02 skipped as an environment issue (AD-11). The review shows Calculated Age 36 for a DOB 35 years back (AC-04).</t>
        </is>
      </c>
      <c r="L8" s="4">
        <f>COUNTIF('Test Cases'!$AE$5:$AE$110,"Passed")</f>
        <v/>
      </c>
      <c r="M8" s="4">
        <f>COUNTIF('Test Cases'!$AE$5:$AE$110,"Failed")</f>
        <v/>
      </c>
    </row>
    <row r="9">
      <c r="A9" s="4" t="inlineStr">
        <is>
          <t>RUN-5</t>
        </is>
      </c>
      <c r="B9" s="4" t="inlineStr">
        <is>
          <t>2026-10-28 (after the WF-V08 / CLI-V13 / diagnostics patch)</t>
        </is>
      </c>
      <c r="C9" s="4" t="inlineStr">
        <is>
          <t>Smoke (@smoke), chromium + api</t>
        </is>
      </c>
      <c r="D9" s="4" t="inlineStr">
        <is>
          <t>Merged repo v4</t>
        </is>
      </c>
      <c r="E9" s="11" t="n">
        <v>15</v>
      </c>
      <c r="F9" s="11" t="n">
        <v>12</v>
      </c>
      <c r="G9" s="11" t="n">
        <v>1</v>
      </c>
      <c r="H9" s="11" t="n">
        <v>2</v>
      </c>
      <c r="I9" s="17">
        <f>IF(E9=0,"n/a",F9/E9)</f>
        <v/>
      </c>
      <c r="J9" s="4" t="n">
        <v>2</v>
      </c>
      <c r="K9" s="4" t="inlineStr">
        <is>
          <t>Only RIDER-V01 fails: the page shows "Current rider premium: $0.00" until the step is saved (AD-13). API-V01/V02 still skipped (AD-11). CLI-V13 (age) not yet run.</t>
        </is>
      </c>
      <c r="L9" s="4">
        <f>COUNTIF('Test Cases'!$AF$5:$AF$110,"Passed")</f>
        <v/>
      </c>
      <c r="M9" s="4">
        <f>COUNTIF('Test Cases'!$AF$5:$AF$110,"Failed")</f>
        <v/>
      </c>
    </row>
    <row r="11">
      <c r="A11" s="18" t="inlineStr">
        <is>
          <t>Classification of the failures (from the Defect Log)</t>
        </is>
      </c>
    </row>
    <row r="12" ht="32" customHeight="1">
      <c r="A12" s="3" t="inlineStr">
        <is>
          <t>Type</t>
        </is>
      </c>
      <c r="B12" s="3" t="inlineStr">
        <is>
          <t>Count</t>
        </is>
      </c>
      <c r="C12" s="3" t="inlineStr">
        <is>
          <t>Meaning</t>
        </is>
      </c>
    </row>
    <row r="13">
      <c r="A13" s="4" t="inlineStr">
        <is>
          <t>Automation defect</t>
        </is>
      </c>
      <c r="B13" s="4">
        <f>COUNTIF('Defect Log'!$B$5:$B$24,A13)</f>
        <v/>
      </c>
      <c r="C13" s="4" t="inlineStr">
        <is>
          <t>The test or page object was wrong (locator, flow, API contract).</t>
        </is>
      </c>
    </row>
    <row r="14">
      <c r="A14" s="4" t="inlineStr">
        <is>
          <t>Test-data issue</t>
        </is>
      </c>
      <c r="B14" s="4">
        <f>COUNTIF('Defect Log'!$B$5:$B$24,A14)</f>
        <v/>
      </c>
      <c r="C14" s="4" t="inlineStr">
        <is>
          <t>Data or account choice made a correct test fail.</t>
        </is>
      </c>
    </row>
    <row r="15">
      <c r="A15" s="4" t="inlineStr">
        <is>
          <t>Environment issue</t>
        </is>
      </c>
      <c r="B15" s="4">
        <f>COUNTIF('Defect Log'!$B$5:$B$24,A15)</f>
        <v/>
      </c>
      <c r="C15" s="4" t="inlineStr">
        <is>
          <t>Lab VM, URL, port or timing - not a product defect.</t>
        </is>
      </c>
    </row>
    <row r="16">
      <c r="A16" s="4" t="inlineStr">
        <is>
          <t>Application defect (candidate)</t>
        </is>
      </c>
      <c r="B16" s="4">
        <f>COUNTIF('Defect Log'!$B$5:$B$24,A16)</f>
        <v/>
      </c>
      <c r="C16" s="4" t="inlineStr">
        <is>
          <t>Possible application defect, NOT yet reproduced on the lab.</t>
        </is>
      </c>
    </row>
    <row r="17">
      <c r="A17" s="4" t="inlineStr">
        <is>
          <t>Clarification</t>
        </is>
      </c>
      <c r="B17" s="4">
        <f>COUNTIF('Defect Log'!$B$5:$B$24,A17)</f>
        <v/>
      </c>
      <c r="C17" s="4" t="inlineStr">
        <is>
          <t>Needs a product-owner answer before it can be called a defect.</t>
        </is>
      </c>
    </row>
    <row r="18">
      <c r="A18" s="4" t="inlineStr">
        <is>
          <t>Confirmed application defects</t>
        </is>
      </c>
      <c r="B18" s="4">
        <f>COUNTIFS('Defect Log'!$B$5:$B$24,"Application defect*",'Defect Log'!$K$5:$K$24,"Confirmed*")</f>
        <v/>
      </c>
      <c r="C18" s="4" t="inlineStr">
        <is>
          <t>None yet: the live runs so far failed before any validation rule was reached. Re-run after the fixes, then update this sheet.</t>
        </is>
      </c>
    </row>
  </sheetData>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N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2" customWidth="1" min="3" max="3"/>
    <col width="46" customWidth="1" min="4" max="4"/>
    <col width="34" customWidth="1" min="5" max="5"/>
    <col width="14" customWidth="1" min="6" max="6"/>
    <col width="52" customWidth="1" min="7" max="7"/>
    <col width="60" customWidth="1" min="8" max="8"/>
    <col width="10" customWidth="1" min="9" max="9"/>
    <col width="9" customWidth="1" min="10" max="10"/>
    <col width="28" customWidth="1" min="11" max="11"/>
    <col width="44" customWidth="1" min="12" max="12"/>
    <col width="24" customWidth="1" min="13" max="13"/>
    <col width="14" customWidth="1" min="14" max="14"/>
  </cols>
  <sheetData>
    <row r="1">
      <c r="A1" s="1" t="inlineStr">
        <is>
          <t>Defect Log - classified before logging (README section 6)</t>
        </is>
      </c>
    </row>
    <row r="2">
      <c r="A2" s="2" t="inlineStr">
        <is>
          <t>Yellow cells are for you: record the live re-run result and date after each fix. "PROBABLE" or "HYPOTHESIS" in the analysis means the failure text was not captured.</t>
        </is>
      </c>
    </row>
    <row r="4" ht="32" customHeight="1">
      <c r="A4" s="3" t="inlineStr">
        <is>
          <t>Defect ID</t>
        </is>
      </c>
      <c r="B4" s="3" t="inlineStr">
        <is>
          <t>Type</t>
        </is>
      </c>
      <c r="C4" s="3" t="inlineStr">
        <is>
          <t>Module</t>
        </is>
      </c>
      <c r="D4" s="3" t="inlineStr">
        <is>
          <t>Title</t>
        </is>
      </c>
      <c r="E4" s="3" t="inlineStr">
        <is>
          <t>Affected test cases</t>
        </is>
      </c>
      <c r="F4" s="3" t="inlineStr">
        <is>
          <t>Reported issue (RI)</t>
        </is>
      </c>
      <c r="G4" s="3" t="inlineStr">
        <is>
          <t>Evidence</t>
        </is>
      </c>
      <c r="H4" s="3" t="inlineStr">
        <is>
          <t>Analysis / root cause</t>
        </is>
      </c>
      <c r="I4" s="3" t="inlineStr">
        <is>
          <t>Severity</t>
        </is>
      </c>
      <c r="J4" s="3" t="inlineStr">
        <is>
          <t>Priority</t>
        </is>
      </c>
      <c r="K4" s="3" t="inlineStr">
        <is>
          <t>Status</t>
        </is>
      </c>
      <c r="L4" s="3" t="inlineStr">
        <is>
          <t>Fix / where</t>
        </is>
      </c>
      <c r="M4" s="3" t="inlineStr">
        <is>
          <t>Live re-run result (fill)</t>
        </is>
      </c>
      <c r="N4" s="3" t="inlineStr">
        <is>
          <t>Re-test date (fill)</t>
        </is>
      </c>
    </row>
    <row r="5">
      <c r="A5" s="4" t="inlineStr">
        <is>
          <t>AD-01</t>
        </is>
      </c>
      <c r="B5" s="4" t="inlineStr">
        <is>
          <t>Automation defect</t>
        </is>
      </c>
      <c r="C5" s="4" t="inlineStr">
        <is>
          <t>Dashboard / Workflow</t>
        </is>
      </c>
      <c r="D5" s="4" t="inlineStr">
        <is>
          <t>Start-new-application flow skipped the "Create Draft" page</t>
        </is>
      </c>
      <c r="E5" s="4" t="inlineStr">
        <is>
          <t>TC-WF-V01, TC-WF-V03, TC-WF-V08, TC-BEN-V01, TC-CLI-V01, TC-DOC-V01, TC-PROD-V01, TC-RIDER-V01</t>
        </is>
      </c>
      <c r="F5" s="4" t="inlineStr"/>
      <c r="G5" s="4" t="inlineStr">
        <is>
          <t>RUN-1: every test that begins with "Start New Application" failed; AUTH and DASH tests passed. RUN-2: 73 failures, all in journey specs.</t>
        </is>
      </c>
      <c r="H5" s="4" t="inlineStr">
        <is>
          <t>The real app shows an application-start page with a Create Draft button between the dashboard and the client form. The flow clicked New Application and waited for client fields that never appeared.</t>
        </is>
      </c>
      <c r="I5" s="14" t="inlineStr">
        <is>
          <t>High</t>
        </is>
      </c>
      <c r="J5" s="4" t="inlineStr">
        <is>
          <t>P1</t>
        </is>
      </c>
      <c r="K5" s="4" t="inlineStr">
        <is>
          <t>Verified live in RUN-3 (journeys now reach the product step)</t>
        </is>
      </c>
      <c r="L5" s="4" t="inlineStr">
        <is>
          <t>pages/DashboardPage.js startNewApplication()</t>
        </is>
      </c>
      <c r="M5" s="11" t="inlineStr"/>
      <c r="N5" s="11" t="inlineStr"/>
    </row>
    <row r="6">
      <c r="A6" s="4" t="inlineStr">
        <is>
          <t>AD-02</t>
        </is>
      </c>
      <c r="B6" s="4" t="inlineStr">
        <is>
          <t>Automation defect</t>
        </is>
      </c>
      <c r="C6" s="4" t="inlineStr">
        <is>
          <t>All UI steps</t>
        </is>
      </c>
      <c r="D6" s="4" t="inlineStr">
        <is>
          <t>Guessed data-testid values did not match the application</t>
        </is>
      </c>
      <c r="E6" s="4" t="inlineStr">
        <is>
          <t>TC-CLI-V01, TC-PROD-V01, TC-RIDER-V01, TC-BEN-V01, TC-DOC-V01, TC-WF-V03, TC-WF-V08</t>
        </is>
      </c>
      <c r="F6" s="4" t="inlineStr"/>
      <c r="G6" s="4" t="inlineStr">
        <is>
          <t>RUN-1 and RUN-2 journey failures; third project's page objects list the real ids (e.g. client-first-name-input, product-select, rider-row-&lt;id&gt;).</t>
        </is>
      </c>
      <c r="H6" s="4" t="inlineStr">
        <is>
          <t>Only login and dashboard ids were confirmed. Every other id followed a guessed convention.</t>
        </is>
      </c>
      <c r="I6" s="14" t="inlineStr">
        <is>
          <t>High</t>
        </is>
      </c>
      <c r="J6" s="4" t="inlineStr">
        <is>
          <t>P1</t>
        </is>
      </c>
      <c r="K6" s="4" t="inlineStr">
        <is>
          <t>Mostly verified live in RUN-4 (client, address, KYC, product, beneficiaries, documents, review, confirmation work; riders premium summary still open - AD-13)</t>
        </is>
      </c>
      <c r="L6" s="4" t="inlineStr">
        <is>
          <t>config/selectors.js (ids FROM MARKUP; run npm run verify:selectors to prove them)</t>
        </is>
      </c>
      <c r="M6" s="11" t="inlineStr"/>
      <c r="N6" s="11" t="inlineStr"/>
    </row>
    <row r="7">
      <c r="A7" s="4" t="inlineStr">
        <is>
          <t>AD-03</t>
        </is>
      </c>
      <c r="B7" s="4" t="inlineStr">
        <is>
          <t>Automation defect</t>
        </is>
      </c>
      <c r="C7" s="4" t="inlineStr">
        <is>
          <t>API</t>
        </is>
      </c>
      <c r="D7" s="4" t="inlineStr">
        <is>
          <t>API client did not follow the real contract (agent_email, field names, redirects, payload shapes)</t>
        </is>
      </c>
      <c r="E7" s="4" t="inlineStr">
        <is>
          <t>TC-API-V01, TC-API-V02, TC-API-V03, TC-API-V04, TC-API-V05, TC-API-V06, TC-API-V08, TC-API-V10, TC-API-V11</t>
        </is>
      </c>
      <c r="F7" s="4" t="inlineStr">
        <is>
          <t>RI-19</t>
        </is>
      </c>
      <c r="G7" s="4" t="inlineStr">
        <is>
          <t>RUN-1: API-V01 failed in 343 ms, API-V02 in 446 ms (no response text captured).</t>
        </is>
      </c>
      <c r="H7" s="4" t="inlineStr">
        <is>
          <t>SUPERSEDED by AD-11: RUN-3 showed HTTP 404 on both API calls, so the first cause is the API base URL, not the contract. The contract fixes (product_name, agent_email on every call, no redirects, snake_case payloads) are still correct but cannot be proven until AD-11 is resolved.</t>
        </is>
      </c>
      <c r="I7" s="14" t="inlineStr">
        <is>
          <t>High</t>
        </is>
      </c>
      <c r="J7" s="4" t="inlineStr">
        <is>
          <t>P1</t>
        </is>
      </c>
      <c r="K7" s="4" t="inlineStr">
        <is>
          <t>Fixed in code - awaiting live re-run</t>
        </is>
      </c>
      <c r="L7" s="4" t="inlineStr">
        <is>
          <t>api/ApiClient.js, api/helpers.js, config/endpoints.js, tests/api/applications.api.spec.js</t>
        </is>
      </c>
      <c r="M7" s="11" t="inlineStr"/>
      <c r="N7" s="11" t="inlineStr"/>
    </row>
    <row r="8">
      <c r="A8" s="4" t="inlineStr">
        <is>
          <t>AD-04</t>
        </is>
      </c>
      <c r="B8" s="4" t="inlineStr">
        <is>
          <t>Automation defect</t>
        </is>
      </c>
      <c r="C8" s="4" t="inlineStr">
        <is>
          <t>Product / Riders / Beneficiaries / Documents</t>
        </is>
      </c>
      <c r="D8" s="4" t="inlineStr">
        <is>
          <t>Page objects modelled the wrong controls (product and rider cards, Add-beneficiary modal, per-document file inputs, Save draft)</t>
        </is>
      </c>
      <c r="E8" s="4" t="inlineStr">
        <is>
          <t>TC-PROD-V01, TC-RIDER-V01, TC-BEN-V01, TC-DOC-V01, TC-WF-V01</t>
        </is>
      </c>
      <c r="F8" s="4" t="inlineStr"/>
      <c r="G8" s="4" t="inlineStr">
        <is>
          <t>Third project's page objects: product step is a dropdown, riders are table rows, beneficiaries are an always-open form using native alert()/confirm(), documents are one type dropdown + one file input + Upload, and there is no Save draft button.</t>
        </is>
      </c>
      <c r="H8" s="4" t="inlineStr">
        <is>
          <t>The wizard model assumed in Submission 2 does not match the application.</t>
        </is>
      </c>
      <c r="I8" s="14" t="inlineStr">
        <is>
          <t>High</t>
        </is>
      </c>
      <c r="J8" s="4" t="inlineStr">
        <is>
          <t>P1</t>
        </is>
      </c>
      <c r="K8" s="4" t="inlineStr">
        <is>
          <t>Mostly verified live in RUN-4 (product, beneficiary, document pages work); rider premium reading open - AD-13</t>
        </is>
      </c>
      <c r="L8" s="4" t="inlineStr">
        <is>
          <t>pages/ProductPage.js, RiderPage.js, BeneficiaryPage.js, DocumentsPage.js, BasePage.js</t>
        </is>
      </c>
      <c r="M8" s="11" t="inlineStr"/>
      <c r="N8" s="11" t="inlineStr"/>
    </row>
    <row r="9">
      <c r="A9" s="4" t="inlineStr">
        <is>
          <t>AD-05</t>
        </is>
      </c>
      <c r="B9" s="4" t="inlineStr">
        <is>
          <t>Test-data issue</t>
        </is>
      </c>
      <c r="C9" s="4" t="inlineStr">
        <is>
          <t>Client / Address / KYC / Product</t>
        </is>
      </c>
      <c r="D9" s="4" t="inlineStr">
        <is>
          <t>Test data omitted mandatory fields and used display text instead of the app's option values</t>
        </is>
      </c>
      <c r="E9" s="4" t="inlineStr">
        <is>
          <t>TC-CLI-V01, TC-WF-V03</t>
        </is>
      </c>
      <c r="F9" s="4" t="inlineStr"/>
      <c r="G9" s="4" t="inlineStr">
        <is>
          <t>Third project's data builders: employer address, preferred contact mode, compliance declaration, payment term and coverage term are all required; selects use enum values (MALE, SSN, MONTHLY).</t>
        </is>
      </c>
      <c r="H9" s="4" t="inlineStr">
        <is>
          <t>Steps could not be saved without these fields even with correct locators.</t>
        </is>
      </c>
      <c r="I9" s="16" t="inlineStr">
        <is>
          <t>Medium</t>
        </is>
      </c>
      <c r="J9" s="4" t="inlineStr">
        <is>
          <t>P2</t>
        </is>
      </c>
      <c r="K9" s="4" t="inlineStr">
        <is>
          <t>Fixed in code - awaiting live re-run</t>
        </is>
      </c>
      <c r="L9" s="4" t="inlineStr">
        <is>
          <t>utils/dataBuilder.js, pages/KycFinancialPage.js</t>
        </is>
      </c>
      <c r="M9" s="11" t="inlineStr"/>
      <c r="N9" s="11" t="inlineStr"/>
    </row>
    <row r="10">
      <c r="A10" s="4" t="inlineStr">
        <is>
          <t>AD-06</t>
        </is>
      </c>
      <c r="B10" s="4" t="inlineStr">
        <is>
          <t>Test-data issue</t>
        </is>
      </c>
      <c r="C10" s="4" t="inlineStr">
        <is>
          <t>Test isolation</t>
        </is>
      </c>
      <c r="D10" s="4" t="inlineStr">
        <is>
          <t>Write flows ran as the seeded agent.valid, whose draft is shared and seeded</t>
        </is>
      </c>
      <c r="E10" s="4" t="inlineStr">
        <is>
          <t>TC-WF-V01, TC-WF-V03, TC-BEN-V01, TC-CLI-V01</t>
        </is>
      </c>
      <c r="F10" s="4" t="inlineStr"/>
      <c r="G10" s="4" t="inlineStr">
        <is>
          <t>Login resumes or creates the agent's single draft (BR-AUTH-010); third project runs all write flows as a learner account.</t>
        </is>
      </c>
      <c r="H10" s="4" t="inlineStr">
        <is>
          <t>Shared state between tests and with seeded data DASH-* relies on.</t>
        </is>
      </c>
      <c r="I10" s="16" t="inlineStr">
        <is>
          <t>Medium</t>
        </is>
      </c>
      <c r="J10" s="4" t="inlineStr">
        <is>
          <t>P2</t>
        </is>
      </c>
      <c r="K10" s="4" t="inlineStr">
        <is>
          <t>Fixed in code - awaiting live re-run</t>
        </is>
      </c>
      <c r="L10" s="4" t="inlineStr">
        <is>
          <t>config/env.js learnerAgent (set LEARNER_USER to your assigned account); specs use agentRole learnerAgent</t>
        </is>
      </c>
      <c r="M10" s="11" t="inlineStr"/>
      <c r="N10" s="11" t="inlineStr"/>
    </row>
    <row r="11">
      <c r="A11" s="4" t="inlineStr">
        <is>
          <t>AD-07</t>
        </is>
      </c>
      <c r="B11" s="4" t="inlineStr">
        <is>
          <t>Test-data issue</t>
        </is>
      </c>
      <c r="C11" s="4" t="inlineStr">
        <is>
          <t>Authentication</t>
        </is>
      </c>
      <c r="D11" s="4" t="inlineStr">
        <is>
          <t>AUTH-V02 tried a wrong password on agent.valid; failed attempts count toward the 5-attempt lock (BR-AUTH-005)</t>
        </is>
      </c>
      <c r="E11" s="4" t="inlineStr">
        <is>
          <t>TC-AUTH-V02, TC-AUTH-V04, TC-DASH-V01</t>
        </is>
      </c>
      <c r="F11" s="4" t="inlineStr">
        <is>
          <t>RI-02</t>
        </is>
      </c>
      <c r="G11" s="4" t="inlineStr">
        <is>
          <t>AUTH-V04 and DASH-V01 passed in RUN-1 but are missing from RUN-2's passed list.</t>
        </is>
      </c>
      <c r="H11" s="4" t="inlineStr">
        <is>
          <t>HYPOTHESIS only: repeated failed attempts may have locked or disturbed agent.valid. Not confirmed - RUN-2 gives no failure text for those two tests.</t>
        </is>
      </c>
      <c r="I11" s="16" t="inlineStr">
        <is>
          <t>Medium</t>
        </is>
      </c>
      <c r="J11" s="4" t="inlineStr">
        <is>
          <t>P2</t>
        </is>
      </c>
      <c r="K11" s="4" t="inlineStr">
        <is>
          <t>Fixed in code - awaiting live re-run</t>
        </is>
      </c>
      <c r="L11" s="4" t="inlineStr">
        <is>
          <t>tests/ui/auth.spec.js AUTH-V02 now uses the second agent</t>
        </is>
      </c>
      <c r="M11" s="11" t="inlineStr"/>
      <c r="N11" s="11" t="inlineStr"/>
    </row>
    <row r="12">
      <c r="A12" s="4" t="inlineStr">
        <is>
          <t>AD-08</t>
        </is>
      </c>
      <c r="B12" s="4" t="inlineStr">
        <is>
          <t>Automation defect</t>
        </is>
      </c>
      <c r="C12" s="4" t="inlineStr">
        <is>
          <t>Client / KYC</t>
        </is>
      </c>
      <c r="D12" s="4" t="inlineStr">
        <is>
          <t>CLI-V08 (SSN masking, release gate) silently skipped: it looked for an SSN field the real form does not have</t>
        </is>
      </c>
      <c r="E12" s="4" t="inlineStr">
        <is>
          <t>TC-CLI-V08</t>
        </is>
      </c>
      <c r="F12" s="4" t="inlineStr">
        <is>
          <t>RI-07</t>
        </is>
      </c>
      <c r="G12" s="4" t="inlineStr">
        <is>
          <t>The real KYC form takes the SSN as the ID number when the ID type is SSN.</t>
        </is>
      </c>
      <c r="H12" s="4" t="inlineStr">
        <is>
          <t>A P1 release-gate scenario was not executing.</t>
        </is>
      </c>
      <c r="I12" s="14" t="inlineStr">
        <is>
          <t>High</t>
        </is>
      </c>
      <c r="J12" s="4" t="inlineStr">
        <is>
          <t>P1</t>
        </is>
      </c>
      <c r="K12" s="4" t="inlineStr">
        <is>
          <t>Fixed in code - awaiting live re-run</t>
        </is>
      </c>
      <c r="L12" s="4" t="inlineStr">
        <is>
          <t>tests/ui/client-kyc-sensitive.spec.js CLI-V08 rewritten (masked after reload, on review, no full SSN in page content)</t>
        </is>
      </c>
      <c r="M12" s="11" t="inlineStr"/>
      <c r="N12" s="11" t="inlineStr"/>
    </row>
    <row r="13">
      <c r="A13" s="4" t="inlineStr">
        <is>
          <t>AD-09</t>
        </is>
      </c>
      <c r="B13" s="4" t="inlineStr">
        <is>
          <t>Automation defect</t>
        </is>
      </c>
      <c r="C13" s="4" t="inlineStr">
        <is>
          <t>Product</t>
        </is>
      </c>
      <c r="D13" s="4" t="inlineStr">
        <is>
          <t>Journeys selected the first "whole life" product, whose minimum sum assured is above the default face value</t>
        </is>
      </c>
      <c r="E13" s="4" t="inlineStr">
        <is>
          <t>TC-WF-V03, TC-WF-V08, TC-BEN-V01, TC-DOC-V01, TC-RIDER-V01</t>
        </is>
      </c>
      <c r="F13" s="4" t="inlineStr"/>
      <c r="G13" s="4" t="inlineStr">
        <is>
          <t>RUN-3: "Sum assured is below the selected product minimum." at the product step in 5 tests (reference data: Elite Legacy minimum 500,000 vs default 250,000; SecureLife minimum 100,000).</t>
        </is>
      </c>
      <c r="H13" s="4" t="inlineStr">
        <is>
          <t>The dropdown's first matching entry is not necessarily SecureLife. This is the application correctly enforcing a product rule, not an application defect.</t>
        </is>
      </c>
      <c r="I13" s="14" t="inlineStr">
        <is>
          <t>High</t>
        </is>
      </c>
      <c r="J13" s="4" t="inlineStr">
        <is>
          <t>P1</t>
        </is>
      </c>
      <c r="K13" s="4" t="inlineStr">
        <is>
          <t>Verified live in RUN-4 (WF-V03, BEN-V01, DOC-V01 now pass)</t>
        </is>
      </c>
      <c r="L13" s="4" t="inlineStr">
        <is>
          <t>config/env.js patterns.defaultProduct (SecureLife; override with DEFAULT_PRODUCT_PATTERN); utils/dataBuilder.js</t>
        </is>
      </c>
      <c r="M13" s="11" t="inlineStr"/>
      <c r="N13" s="11" t="inlineStr"/>
    </row>
    <row r="14">
      <c r="A14" s="4" t="inlineStr">
        <is>
          <t>AD-10</t>
        </is>
      </c>
      <c r="B14" s="4" t="inlineStr">
        <is>
          <t>Environment issue</t>
        </is>
      </c>
      <c r="C14" s="4" t="inlineStr">
        <is>
          <t>Test setup</t>
        </is>
      </c>
      <c r="D14" s="4" t="inlineStr">
        <is>
          <t>First login of a run exceeded the 45 s test timeout while creating the cached session</t>
        </is>
      </c>
      <c r="E14" s="4" t="inlineStr">
        <is>
          <t>TC-WF-V01</t>
        </is>
      </c>
      <c r="F14" s="4" t="inlineStr"/>
      <c r="G14" s="4" t="inlineStr">
        <is>
          <t>RUN-3: "Test timeout of 45000ms exceeded while setting up storageState" on the first test; later tests logged in fine.</t>
        </is>
      </c>
      <c r="H14" s="4" t="inlineStr">
        <is>
          <t>PROBABLE: cold lab VM or slow first draft creation on login. Not an application defect unless it recurs after the timeout is raised.</t>
        </is>
      </c>
      <c r="I14" s="16" t="inlineStr">
        <is>
          <t>Medium</t>
        </is>
      </c>
      <c r="J14" s="4" t="inlineStr">
        <is>
          <t>P2</t>
        </is>
      </c>
      <c r="K14" s="4" t="inlineStr">
        <is>
          <t>Verified live in RUN-4 (WF-V01 passed in 6.6 s; no timeout)</t>
        </is>
      </c>
      <c r="L14" s="4" t="inlineStr">
        <is>
          <t>fixtures/index.js storageState fixture has its own 180 s timeout</t>
        </is>
      </c>
      <c r="M14" s="11" t="inlineStr"/>
      <c r="N14" s="11" t="inlineStr"/>
    </row>
    <row r="15">
      <c r="A15" s="4" t="inlineStr">
        <is>
          <t>AD-12</t>
        </is>
      </c>
      <c r="B15" s="4" t="inlineStr">
        <is>
          <t>Automation defect</t>
        </is>
      </c>
      <c r="C15" s="4" t="inlineStr">
        <is>
          <t>Review</t>
        </is>
      </c>
      <c r="D15" s="4" t="inlineStr">
        <is>
          <t>WF-V08 expected the beneficiary on the review page; the live review snapshot has no beneficiary section</t>
        </is>
      </c>
      <c r="E15" s="4" t="inlineStr">
        <is>
          <t>TC-WF-V08</t>
        </is>
      </c>
      <c r="F15" s="4" t="inlineStr"/>
      <c r="G15" s="4" t="inlineStr">
        <is>
          <t>RUN-4 failure text: review shows Client, Calculated Age, Product, Sum Assured, Frequency, Payment Term, Coverage Term, Base/Rider/Total premium and Status only.</t>
        </is>
      </c>
      <c r="H15" s="4" t="inlineStr">
        <is>
          <t>The test over-specified the page. Whether the review SHOULD list beneficiaries is a requirement question (CL-03).</t>
        </is>
      </c>
      <c r="I15" s="16" t="inlineStr">
        <is>
          <t>Medium</t>
        </is>
      </c>
      <c r="J15" s="4" t="inlineStr">
        <is>
          <t>P2</t>
        </is>
      </c>
      <c r="K15" s="4" t="inlineStr">
        <is>
          <t>Verified live in RUN-5 (WF-V08 passes)</t>
        </is>
      </c>
      <c r="L15" s="4" t="inlineStr">
        <is>
          <t>tests/e2e/workflow.spec.js WF-V08 checks client, product, sum assured and premium on review, and the beneficiary on its own step</t>
        </is>
      </c>
      <c r="M15" s="11" t="inlineStr"/>
      <c r="N15" s="11" t="inlineStr"/>
    </row>
    <row r="16">
      <c r="A16" s="4" t="inlineStr">
        <is>
          <t>AD-13</t>
        </is>
      </c>
      <c r="B16" s="4" t="inlineStr">
        <is>
          <t>Automation defect</t>
        </is>
      </c>
      <c r="C16" s="4" t="inlineStr">
        <is>
          <t>Riders</t>
        </is>
      </c>
      <c r="D16" s="4" t="inlineStr">
        <is>
          <t>RIDER-V01: the rider premium summary figure was not read (NaN after 8 s)</t>
        </is>
      </c>
      <c r="E16" s="4" t="inlineStr">
        <is>
          <t>TC-RIDER-V01, TC-RIDER-V07</t>
        </is>
      </c>
      <c r="F16" s="4" t="inlineStr">
        <is>
          <t>RI-12</t>
        </is>
      </c>
      <c r="G16" s="4" t="inlineStr">
        <is>
          <t>RUN-4: "rider premium in the summary ... Expected &gt; 0, Received NaN".</t>
        </is>
      </c>
      <c r="H16" s="4" t="inlineStr">
        <is>
          <t>CONFIRMED by the attached diagnostics (RUN-5): the page shows "Current rider premium: $0.00" after the rider is ticked. The premium is calculated by the server on SAVE, not live; the third project's own RIDER-V01 saves, reopens the step and then reads the summary. The test assumed a live update.</t>
        </is>
      </c>
      <c r="I16" s="16" t="inlineStr">
        <is>
          <t>Medium</t>
        </is>
      </c>
      <c r="J16" s="4" t="inlineStr">
        <is>
          <t>P2</t>
        </is>
      </c>
      <c r="K16" s="4" t="inlineStr">
        <is>
          <t>Fixed in code - awaiting live re-run</t>
        </is>
      </c>
      <c r="L16" s="4" t="inlineStr">
        <is>
          <t>tests/ui/riders.spec.js RIDER-V01 saves and reopens the step (RiderPage.saveAndReopen); RIDER-V07 reads the review breakdown (ReviewSubmitPage.premiumBreakdown)</t>
        </is>
      </c>
      <c r="M16" s="11" t="inlineStr"/>
      <c r="N16" s="11" t="inlineStr"/>
    </row>
    <row r="17">
      <c r="A17" s="4" t="inlineStr">
        <is>
          <t>AD-11</t>
        </is>
      </c>
      <c r="B17" s="4" t="inlineStr">
        <is>
          <t>Environment issue</t>
        </is>
      </c>
      <c r="C17" s="4" t="inlineStr">
        <is>
          <t>API</t>
        </is>
      </c>
      <c r="D17" s="4" t="inlineStr">
        <is>
          <t>API base URL: every API call returned HTTP 404 at &lt;host&gt;:8081/api/</t>
        </is>
      </c>
      <c r="E17" s="4" t="inlineStr">
        <is>
          <t>TC-API-V01, TC-API-V02, TC-API-V03, TC-API-V04, TC-API-V05, TC-API-V06, TC-API-V08, TC-API-V10, TC-API-V11</t>
        </is>
      </c>
      <c r="F17" s="4" t="inlineStr"/>
      <c r="G17" s="4" t="inlineStr">
        <is>
          <t>RUN-3: API-V01 (with key) and API-V02 (without) both returned 404. curl on 28 Oct: http://34.93.84.61:8000/api/products = connection timed out (not reachable from the tester machine); :8081/api/products and :8082/api/products = HTTP 404 with a Laravel "Not Found" HTML page (Apache/PHP) - the server is up but has no route at that path.</t>
        </is>
      </c>
      <c r="H17" s="4" t="inlineStr">
        <is>
          <t>CONFIRMED by the application itself (discover:api, 28 Oct, signed-in session): Laravel answers "The route api/products could not be found" (same for api/applications), and every probed /api prefix is 404. /applications, /products and /applications/&lt;id&gt;/status return normal HTML pages. So this deployment (C:\qa-lab\apps\insurance-order-entry-demo) registers NO API routes. HYPOTHESES to put to the lab admin: the API is only enabled when QA_DEMO_API_KEY is set in the app's environment, or it is a separate service reachable only from the VM (port 8000 timed out from the tester machine). Not an application defect until the lab confirms the API is meant to exist here.</t>
        </is>
      </c>
      <c r="I17" s="14" t="inlineStr">
        <is>
          <t>High</t>
        </is>
      </c>
      <c r="J17" s="4" t="inlineStr">
        <is>
          <t>P1</t>
        </is>
      </c>
      <c r="K17" s="4" t="inlineStr">
        <is>
          <t>Open - no API routes in this deployment; ask the lab admin</t>
        </is>
      </c>
      <c r="L17" s="4" t="inlineStr">
        <is>
          <t>API tests SKIP as an environment issue until the API answers (API_REQUIRED=true makes that a failure). Ask the lab admin: is QA_DEMO_API_KEY set and the API enabled on this VM, and where is it served?</t>
        </is>
      </c>
      <c r="M17" s="11" t="inlineStr"/>
      <c r="N17" s="11" t="inlineStr"/>
    </row>
    <row r="18">
      <c r="A18" s="4" t="inlineStr">
        <is>
          <t>AC-01</t>
        </is>
      </c>
      <c r="B18" s="4" t="inlineStr">
        <is>
          <t>Application defect (candidate)</t>
        </is>
      </c>
      <c r="C18" s="4" t="inlineStr">
        <is>
          <t>Review / Validation</t>
        </is>
      </c>
      <c r="D18" s="4" t="inlineStr">
        <is>
          <t>Validation errors on the review page render as plain text, not links to the owning section</t>
        </is>
      </c>
      <c r="E18" s="4" t="inlineStr">
        <is>
          <t>TC-VAL-V02</t>
        </is>
      </c>
      <c r="F18" s="4" t="inlineStr">
        <is>
          <t>RI-17</t>
        </is>
      </c>
      <c r="G18" s="4" t="inlineStr">
        <is>
          <t>Third project's ReviewPage notes "the app currently renders plain text". VAL-V02 expects clicking an item to navigate.</t>
        </is>
      </c>
      <c r="H18" s="4" t="inlineStr">
        <is>
          <t>Either the requirement (links) is unmet or VAL-V02 over-specifies. Confirm the requirement, then reproduce on the lab.</t>
        </is>
      </c>
      <c r="I18" s="13" t="inlineStr">
        <is>
          <t>Low</t>
        </is>
      </c>
      <c r="J18" s="4" t="inlineStr">
        <is>
          <t>P3</t>
        </is>
      </c>
      <c r="K18" s="4" t="inlineStr">
        <is>
          <t>Candidate - not reproduced</t>
        </is>
      </c>
      <c r="L18" s="4" t="inlineStr"/>
      <c r="M18" s="11" t="inlineStr"/>
      <c r="N18" s="11" t="inlineStr"/>
    </row>
    <row r="19">
      <c r="A19" s="4" t="inlineStr">
        <is>
          <t>AC-02</t>
        </is>
      </c>
      <c r="B19" s="4" t="inlineStr">
        <is>
          <t>Application defect (candidate)</t>
        </is>
      </c>
      <c r="C19" s="4" t="inlineStr">
        <is>
          <t>API</t>
        </is>
      </c>
      <c r="D19" s="4" t="inlineStr">
        <is>
          <t>API silently acts as learner001 when agent_email is omitted</t>
        </is>
      </c>
      <c r="E19" s="4" t="inlineStr">
        <is>
          <t>TC-API-V08</t>
        </is>
      </c>
      <c r="F19" s="4" t="inlineStr">
        <is>
          <t>RI-19</t>
        </is>
      </c>
      <c r="G19" s="4" t="inlineStr">
        <is>
          <t>Stated in the third project's README and ApiClient notes; not observed by the team.</t>
        </is>
      </c>
      <c r="H19" s="4" t="inlineStr">
        <is>
          <t>Possible data-scoping weakness: confirm with a call that omits agent_email.</t>
        </is>
      </c>
      <c r="I19" s="16" t="inlineStr">
        <is>
          <t>Medium</t>
        </is>
      </c>
      <c r="J19" s="4" t="inlineStr">
        <is>
          <t>P2</t>
        </is>
      </c>
      <c r="K19" s="4" t="inlineStr">
        <is>
          <t>Candidate - not reproduced</t>
        </is>
      </c>
      <c r="L19" s="4" t="inlineStr"/>
      <c r="M19" s="11" t="inlineStr"/>
      <c r="N19" s="11" t="inlineStr"/>
    </row>
    <row r="20">
      <c r="A20" s="4" t="inlineStr">
        <is>
          <t>AC-03</t>
        </is>
      </c>
      <c r="B20" s="4" t="inlineStr">
        <is>
          <t>Application defect (candidate)</t>
        </is>
      </c>
      <c r="C20" s="4" t="inlineStr">
        <is>
          <t>Platform / Security</t>
        </is>
      </c>
      <c r="D20" s="4" t="inlineStr">
        <is>
          <t>Unknown routes return a debug exception page that leaks the exception class and the server file path</t>
        </is>
      </c>
      <c r="E20" s="4" t="inlineStr">
        <is>
          <t>TC-API-V02</t>
        </is>
      </c>
      <c r="F20" s="4" t="inlineStr"/>
      <c r="G20" s="4" t="inlineStr">
        <is>
          <t>Observed by the team in discover:api output (28 Oct): GET /api/products with Accept: application/json returns JSON containing "exception": "Symfony\Component\HttpKernel\Exception\NotFoundHttpException" and "file": "C:\qa-lab\apps\insurance-order-entry-demo\vendor\laravel\framework\src...". Reproduce with curl.exe -H "Accept: application/json" http://34.93.84.61:8081/api/products</t>
        </is>
      </c>
      <c r="H20" s="4" t="inlineStr">
        <is>
          <t>Looks like APP_DEBUG=true. That is expected in a training lab but would be an information-disclosure finding in any real environment. Confirm with the product owner whether debug mode is intended here before rating it.</t>
        </is>
      </c>
      <c r="I20" s="13" t="inlineStr">
        <is>
          <t>Low</t>
        </is>
      </c>
      <c r="J20" s="4" t="inlineStr">
        <is>
          <t>P3</t>
        </is>
      </c>
      <c r="K20" s="4" t="inlineStr">
        <is>
          <t>Observed - awaiting confirmation it is not intended</t>
        </is>
      </c>
      <c r="L20" s="4" t="inlineStr"/>
      <c r="M20" s="11" t="inlineStr"/>
      <c r="N20" s="11" t="inlineStr"/>
    </row>
    <row r="21">
      <c r="A21" s="4" t="inlineStr">
        <is>
          <t>AC-04</t>
        </is>
      </c>
      <c r="B21" s="4" t="inlineStr">
        <is>
          <t>Application defect (candidate)</t>
        </is>
      </c>
      <c r="C21" s="4" t="inlineStr">
        <is>
          <t>Client / Review</t>
        </is>
      </c>
      <c r="D21" s="4" t="inlineStr">
        <is>
          <t>Calculated Age on the review page shows 36 for a client born exactly 35 years ago today</t>
        </is>
      </c>
      <c r="E21" s="4" t="inlineStr">
        <is>
          <t>TC-CLI-V13, TC-WF-V08</t>
        </is>
      </c>
      <c r="F21" s="4" t="inlineStr">
        <is>
          <t>RI-04</t>
        </is>
      </c>
      <c r="G21" s="4" t="inlineStr">
        <is>
          <t>RUN-4 WF-V08 failure text pasted the review snapshot: "Calculated Age 36". The tests enter dobForAge(35) = today minus 35 years (UTC). The exact DOB typed was not captured in that run; CLI-V13 now attaches DOB and age.</t>
        </is>
      </c>
      <c r="H21" s="4" t="inlineStr">
        <is>
          <t>Possible off-by-one in the age calculation (a seeded-defect theme, RI-04). NOT yet reproduced deliberately: re-run CLI-V13 and confirm by hand (enter a DOB exactly 35 years ago and read the age on review).</t>
        </is>
      </c>
      <c r="I21" s="16" t="inlineStr">
        <is>
          <t>Medium</t>
        </is>
      </c>
      <c r="J21" s="4" t="inlineStr">
        <is>
          <t>P2</t>
        </is>
      </c>
      <c r="K21" s="4" t="inlineStr">
        <is>
          <t>Candidate - reproduce with CLI-V13</t>
        </is>
      </c>
      <c r="L21" s="4" t="inlineStr"/>
      <c r="M21" s="11" t="inlineStr"/>
      <c r="N21" s="11" t="inlineStr"/>
    </row>
    <row r="22">
      <c r="A22" s="4" t="inlineStr">
        <is>
          <t>CL-03</t>
        </is>
      </c>
      <c r="B22" s="4" t="inlineStr">
        <is>
          <t>Clarification</t>
        </is>
      </c>
      <c r="C22" s="4" t="inlineStr">
        <is>
          <t>Review</t>
        </is>
      </c>
      <c r="D22" s="4" t="inlineStr">
        <is>
          <t>Should the review page list the beneficiaries (and riders)?</t>
        </is>
      </c>
      <c r="E22" s="4" t="inlineStr">
        <is>
          <t>TC-WF-V08</t>
        </is>
      </c>
      <c r="F22" s="4" t="inlineStr"/>
      <c r="G22" s="4" t="inlineStr">
        <is>
          <t>The live review snapshot shows client, product and premiums only.</t>
        </is>
      </c>
      <c r="H22" s="4" t="inlineStr">
        <is>
          <t>Ask the product owner; if yes, this is an application gap.</t>
        </is>
      </c>
      <c r="I22" s="13" t="inlineStr">
        <is>
          <t>Low</t>
        </is>
      </c>
      <c r="J22" s="4" t="inlineStr">
        <is>
          <t>P3</t>
        </is>
      </c>
      <c r="K22" s="4" t="inlineStr">
        <is>
          <t>Open</t>
        </is>
      </c>
      <c r="L22" s="4" t="inlineStr"/>
      <c r="M22" s="11" t="inlineStr"/>
      <c r="N22" s="11" t="inlineStr"/>
    </row>
    <row r="23">
      <c r="A23" s="4" t="inlineStr">
        <is>
          <t>CL-01</t>
        </is>
      </c>
      <c r="B23" s="4" t="inlineStr">
        <is>
          <t>Clarification</t>
        </is>
      </c>
      <c r="C23" s="4" t="inlineStr">
        <is>
          <t>Dashboard</t>
        </is>
      </c>
      <c r="D23" s="4" t="inlineStr">
        <is>
          <t>No search or status-filter control is known on the dashboard</t>
        </is>
      </c>
      <c r="E23" s="4" t="inlineStr">
        <is>
          <t>TC-DASH-V05, TC-DASH-V07</t>
        </is>
      </c>
      <c r="F23" s="4" t="inlineStr"/>
      <c r="G23" s="4" t="inlineStr">
        <is>
          <t>Third project's dashboard page object exposes only status counters and the latest 10 applications.</t>
        </is>
      </c>
      <c r="H23" s="4" t="inlineStr">
        <is>
          <t>Ask the product owner whether search / filters are in scope before treating DASH-V05/V07 as defects.</t>
        </is>
      </c>
      <c r="I23" s="13" t="inlineStr">
        <is>
          <t>Low</t>
        </is>
      </c>
      <c r="J23" s="4" t="inlineStr">
        <is>
          <t>P3</t>
        </is>
      </c>
      <c r="K23" s="4" t="inlineStr">
        <is>
          <t>Open</t>
        </is>
      </c>
      <c r="L23" s="4" t="inlineStr"/>
      <c r="M23" s="11" t="inlineStr"/>
      <c r="N23" s="11" t="inlineStr"/>
    </row>
    <row r="24">
      <c r="A24" s="4" t="inlineStr">
        <is>
          <t>CL-02</t>
        </is>
      </c>
      <c r="B24" s="4" t="inlineStr">
        <is>
          <t>Clarification</t>
        </is>
      </c>
      <c r="C24" s="4" t="inlineStr">
        <is>
          <t>Dashboard / Authentication</t>
        </is>
      </c>
      <c r="D24" s="4" t="inlineStr">
        <is>
          <t>Login auto-creates a draft, so a brand-new agent never sees the empty dashboard state</t>
        </is>
      </c>
      <c r="E24" s="4" t="inlineStr">
        <is>
          <t>TC-DASH-V03</t>
        </is>
      </c>
      <c r="F24" s="4" t="inlineStr"/>
      <c r="G24" s="4" t="inlineStr">
        <is>
          <t>BR-AUTH-010 (login resumes or creates the agent's draft).</t>
        </is>
      </c>
      <c r="H24" s="4" t="inlineStr">
        <is>
          <t>DASH-V03 may be unreachable by design. Confirm with the product owner.</t>
        </is>
      </c>
      <c r="I24" s="13" t="inlineStr">
        <is>
          <t>Low</t>
        </is>
      </c>
      <c r="J24" s="4" t="inlineStr">
        <is>
          <t>P3</t>
        </is>
      </c>
      <c r="K24" s="4" t="inlineStr">
        <is>
          <t>Open</t>
        </is>
      </c>
      <c r="L24" s="4" t="inlineStr"/>
      <c r="M24" s="11" t="inlineStr"/>
      <c r="N24" s="11" t="inlineStr"/>
    </row>
  </sheetData>
  <autoFilter ref="A4:N24"/>
  <dataValidations count="1">
    <dataValidation sqref="M5:M24" showDropDown="0" showInputMessage="0" showErrorMessage="0" allowBlank="1" type="list">
      <formula1>"Passed,Failed,Not re-run"</formula1>
    </dataValidation>
  </dataValidations>
  <pageMargins left="0.75" right="0.75" top="1" bottom="1" header="0.5" footer="0.5"/>
</worksheet>
</file>

<file path=xl/worksheets/sheet8.xml><?xml version="1.0" encoding="utf-8"?>
<worksheet xmlns="http://schemas.openxmlformats.org/spreadsheetml/2006/main">
  <sheetPr>
    <tabColor rgb="001F3864"/>
    <outlinePr summaryBelow="1" summaryRight="1"/>
    <pageSetUpPr/>
  </sheetPr>
  <dimension ref="A1:J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60" customWidth="1" min="2" max="2"/>
    <col width="44" customWidth="1" min="3" max="3"/>
    <col width="10" customWidth="1" min="4" max="4"/>
    <col width="46" customWidth="1" min="5" max="5"/>
    <col width="10" customWidth="1" min="6" max="6"/>
    <col width="14" customWidth="1" min="7" max="7"/>
    <col width="30" customWidth="1" min="8" max="8"/>
    <col width="12" customWidth="1" min="9" max="9"/>
    <col width="30" customWidth="1" min="10" max="10"/>
  </cols>
  <sheetData>
    <row r="1">
      <c r="A1" s="1" t="inlineStr">
        <is>
          <t>Exploration Log - hands-on walkthrough of the LIVE application BEFORE trusting the scripts</t>
        </is>
      </c>
    </row>
    <row r="2">
      <c r="A2" s="2" t="inlineStr">
        <is>
          <t>Time-boxed (see total). Yellow cells are for you. Walk the full journey once, then resolve each open item and record it where the last-but-one column says.</t>
        </is>
      </c>
    </row>
    <row r="4" ht="32" customHeight="1">
      <c r="A4" s="3" t="inlineStr">
        <is>
          <t>Item</t>
        </is>
      </c>
      <c r="B4" s="3" t="inlineStr">
        <is>
          <t>What to find out</t>
        </is>
      </c>
      <c r="C4" s="3" t="inlineStr">
        <is>
          <t>Record the answer in</t>
        </is>
      </c>
      <c r="D4" s="3" t="inlineStr">
        <is>
          <t>Time-box (min)</t>
        </is>
      </c>
      <c r="E4" s="3" t="inlineStr">
        <is>
          <t>Dependent test cases</t>
        </is>
      </c>
      <c r="F4" s="3" t="inlineStr">
        <is>
          <t># Dependent</t>
        </is>
      </c>
      <c r="G4" s="3" t="inlineStr">
        <is>
          <t>Status</t>
        </is>
      </c>
      <c r="H4" s="3" t="inlineStr">
        <is>
          <t>Value found (fill)</t>
        </is>
      </c>
      <c r="I4" s="3" t="inlineStr">
        <is>
          <t>Date (fill)</t>
        </is>
      </c>
      <c r="J4" s="3" t="inlineStr">
        <is>
          <t>Notes (fill)</t>
        </is>
      </c>
    </row>
    <row r="5">
      <c r="A5" s="4" t="inlineStr">
        <is>
          <t>Q02</t>
        </is>
      </c>
      <c r="B5" s="4" t="inlineStr">
        <is>
          <t>Base URL / port of the UI and API; reachable from the machine AND from the CI runner</t>
        </is>
      </c>
      <c r="C5" s="4" t="inlineStr">
        <is>
          <t>.env INSURANCE_BASE_URL, INSURANCE_API_URL</t>
        </is>
      </c>
      <c r="D5" s="4" t="n">
        <v>5</v>
      </c>
      <c r="E5" s="4" t="inlineStr"/>
      <c r="F5" s="4">
        <f>IF(E5="",0,LEN(E5)-LEN(SUBSTITUTE(E5,"TC-","")))/3</f>
        <v/>
      </c>
      <c r="G5" s="11" t="inlineStr">
        <is>
          <t>Not started</t>
        </is>
      </c>
      <c r="H5" s="11" t="inlineStr"/>
      <c r="I5" s="11" t="inlineStr"/>
      <c r="J5" s="11" t="inlineStr"/>
    </row>
    <row r="6">
      <c r="A6" s="4" t="inlineStr">
        <is>
          <t>Q03</t>
        </is>
      </c>
      <c r="B6" s="4" t="inlineStr">
        <is>
          <t>API authentication (bearer token vs session cookie), header names, login response shape; payload field names for client / beneficiary / document calls</t>
        </is>
      </c>
      <c r="C6" s="4" t="inlineStr">
        <is>
          <t>.env API_AUTH_MODE, INSURANCE_API_KEY; api/helpers.js payloads</t>
        </is>
      </c>
      <c r="D6" s="4" t="n">
        <v>10</v>
      </c>
      <c r="E6" s="4" t="inlineStr"/>
      <c r="F6" s="4">
        <f>IF(E6="",0,LEN(E6)-LEN(SUBSTITUTE(E6,"TC-","")))/3</f>
        <v/>
      </c>
      <c r="G6" s="11" t="inlineStr">
        <is>
          <t>Not started</t>
        </is>
      </c>
      <c r="H6" s="11" t="inlineStr"/>
      <c r="I6" s="11" t="inlineStr"/>
      <c r="J6" s="11" t="inlineStr"/>
    </row>
    <row r="7">
      <c r="A7" s="4" t="inlineStr">
        <is>
          <t>Q04</t>
        </is>
      </c>
      <c r="B7" s="4" t="inlineStr">
        <is>
          <t>Is read-only database access available? Engine, schema / data dictionary</t>
        </is>
      </c>
      <c r="C7" s="4" t="inlineStr">
        <is>
          <t>Unblocks DB-01..DB-10 (Blocked until then)</t>
        </is>
      </c>
      <c r="D7" s="4" t="n">
        <v>5</v>
      </c>
      <c r="E7" s="4" t="inlineStr">
        <is>
          <t>TC-DB-01, TC-DB-02, TC-DB-03, TC-DB-04, TC-DB-05, TC-DB-06, TC-DB-07, TC-DB-08, TC-DB-09, TC-DB-10</t>
        </is>
      </c>
      <c r="F7" s="4">
        <f>IF(E7="",0,LEN(E7)-LEN(SUBSTITUTE(E7,"TC-","")))/3</f>
        <v/>
      </c>
      <c r="G7" s="11" t="inlineStr">
        <is>
          <t>Not started</t>
        </is>
      </c>
      <c r="H7" s="11" t="inlineStr"/>
      <c r="I7" s="11" t="inlineStr"/>
      <c r="J7" s="11" t="inlineStr"/>
    </row>
    <row r="8">
      <c r="A8" s="4" t="inlineStr">
        <is>
          <t>Q06</t>
        </is>
      </c>
      <c r="B8" s="4" t="inlineStr">
        <is>
          <t>Which seeded users exist: new agent, second agent, MFA agent; which can be locked / reset safely (disposable)</t>
        </is>
      </c>
      <c r="C8" s="4" t="inlineStr">
        <is>
          <t>.env AGENT_*_EMAIL</t>
        </is>
      </c>
      <c r="D8" s="4" t="n">
        <v>10</v>
      </c>
      <c r="E8" s="4" t="inlineStr"/>
      <c r="F8" s="4">
        <f>IF(E8="",0,LEN(E8)-LEN(SUBSTITUTE(E8,"TC-","")))/3</f>
        <v/>
      </c>
      <c r="G8" s="11" t="inlineStr">
        <is>
          <t>Not started</t>
        </is>
      </c>
      <c r="H8" s="11" t="inlineStr"/>
      <c r="I8" s="11" t="inlineStr"/>
      <c r="J8" s="11" t="inlineStr"/>
    </row>
    <row r="9">
      <c r="A9" s="4" t="inlineStr">
        <is>
          <t>Q07</t>
        </is>
      </c>
      <c r="B9" s="4" t="inlineStr">
        <is>
          <t>Lockout behaviour (5th failure locks? duration / unlock) and session timeout length</t>
        </is>
      </c>
      <c r="C9" s="4" t="inlineStr">
        <is>
          <t>.env LOCKOUT_ATTEMPTS, SESSION_TIMEOUT_SECONDS</t>
        </is>
      </c>
      <c r="D9" s="4" t="n">
        <v>5</v>
      </c>
      <c r="E9" s="4" t="inlineStr">
        <is>
          <t>TC-AUTH-V10</t>
        </is>
      </c>
      <c r="F9" s="4">
        <f>IF(E9="",0,LEN(E9)-LEN(SUBSTITUTE(E9,"TC-","")))/3</f>
        <v/>
      </c>
      <c r="G9" s="11" t="inlineStr">
        <is>
          <t>Not started</t>
        </is>
      </c>
      <c r="H9" s="11" t="inlineStr"/>
      <c r="I9" s="11" t="inlineStr"/>
      <c r="J9" s="11" t="inlineStr"/>
    </row>
    <row r="10">
      <c r="A10" s="4" t="inlineStr">
        <is>
          <t>Q08</t>
        </is>
      </c>
      <c r="B10" s="4" t="inlineStr">
        <is>
          <t>How OTP is simulated (fixed code?) for login MFA and password reset</t>
        </is>
      </c>
      <c r="C10" s="4" t="inlineStr">
        <is>
          <t>.env OTP_CODE</t>
        </is>
      </c>
      <c r="D10" s="4" t="n">
        <v>5</v>
      </c>
      <c r="E10" s="4" t="inlineStr">
        <is>
          <t>TC-AUTH-V08, TC-AUTH-V09, TC-AUTH-V12</t>
        </is>
      </c>
      <c r="F10" s="4">
        <f>IF(E10="",0,LEN(E10)-LEN(SUBSTITUTE(E10,"TC-","")))/3</f>
        <v/>
      </c>
      <c r="G10" s="11" t="inlineStr">
        <is>
          <t>Not started</t>
        </is>
      </c>
      <c r="H10" s="11" t="inlineStr"/>
      <c r="I10" s="11" t="inlineStr"/>
      <c r="J10" s="11" t="inlineStr"/>
    </row>
    <row r="11">
      <c r="A11" s="4" t="inlineStr">
        <is>
          <t>Q09</t>
        </is>
      </c>
      <c r="B11" s="4" t="inlineStr">
        <is>
          <t>Exact password policy rules and the change / reset page route</t>
        </is>
      </c>
      <c r="C11" s="4" t="inlineStr">
        <is>
          <t>config/messages.js passwordPolicy; tests/ui/auth.spec.js weak list</t>
        </is>
      </c>
      <c r="D11" s="4" t="n">
        <v>5</v>
      </c>
      <c r="E11" s="4" t="inlineStr">
        <is>
          <t>TC-AUTH-V08</t>
        </is>
      </c>
      <c r="F11" s="4">
        <f>IF(E11="",0,LEN(E11)-LEN(SUBSTITUTE(E11,"TC-","")))/3</f>
        <v/>
      </c>
      <c r="G11" s="11" t="inlineStr">
        <is>
          <t>Not started</t>
        </is>
      </c>
      <c r="H11" s="11" t="inlineStr"/>
      <c r="I11" s="11" t="inlineStr"/>
      <c r="J11" s="11" t="inlineStr"/>
    </row>
    <row r="12">
      <c r="A12" s="4" t="inlineStr">
        <is>
          <t>Q10</t>
        </is>
      </c>
      <c r="B12" s="4" t="inlineStr">
        <is>
          <t>Age 18 and 65 inclusive? Age calculated on which date?</t>
        </is>
      </c>
      <c r="C12" s="4" t="inlineStr">
        <is>
          <t>.env AGE_BOUNDARY_INCLUSIVE</t>
        </is>
      </c>
      <c r="D12" s="4" t="n">
        <v>3</v>
      </c>
      <c r="E12" s="4" t="inlineStr"/>
      <c r="F12" s="4">
        <f>IF(E12="",0,LEN(E12)-LEN(SUBSTITUTE(E12,"TC-","")))/3</f>
        <v/>
      </c>
      <c r="G12" s="11" t="inlineStr">
        <is>
          <t>Not started</t>
        </is>
      </c>
      <c r="H12" s="11" t="inlineStr"/>
      <c r="I12" s="11" t="inlineStr"/>
      <c r="J12" s="11" t="inlineStr"/>
    </row>
    <row r="13">
      <c r="A13" s="4" t="inlineStr">
        <is>
          <t>Q11</t>
        </is>
      </c>
      <c r="B13" s="4" t="inlineStr">
        <is>
          <t>Income vs premium affordability rule: block or warning, threshold, where it appears</t>
        </is>
      </c>
      <c r="C13" s="4" t="inlineStr">
        <is>
          <t>tests/ui/client.spec.js CLI-V12 data; config/messages.js affordability</t>
        </is>
      </c>
      <c r="D13" s="4" t="n">
        <v>5</v>
      </c>
      <c r="E13" s="4" t="inlineStr"/>
      <c r="F13" s="4">
        <f>IF(E13="",0,LEN(E13)-LEN(SUBSTITUTE(E13,"TC-","")))/3</f>
        <v/>
      </c>
      <c r="G13" s="11" t="inlineStr">
        <is>
          <t>Not started</t>
        </is>
      </c>
      <c r="H13" s="11" t="inlineStr"/>
      <c r="I13" s="11" t="inlineStr"/>
      <c r="J13" s="11" t="inlineStr"/>
    </row>
    <row r="14">
      <c r="A14" s="4" t="inlineStr">
        <is>
          <t>Q13</t>
        </is>
      </c>
      <c r="B14" s="4" t="inlineStr">
        <is>
          <t>Face value min / max per product, product eligibility by age, suitability mismatch example, exact Whole Life product names</t>
        </is>
      </c>
      <c r="C14" s="4" t="inlineStr">
        <is>
          <t>.env FACE_VALUE_MIN/MAX, PRODUCT_NAME_PATTERN, INELIGIBLE_AGE*, SUITABILITY_PRODUCT_PATTERN</t>
        </is>
      </c>
      <c r="D14" s="4" t="n">
        <v>10</v>
      </c>
      <c r="E14" s="4" t="inlineStr">
        <is>
          <t>TC-PROD-V03, TC-PROD-V04, TC-PROD-V07, TC-PROD-V08</t>
        </is>
      </c>
      <c r="F14" s="4">
        <f>IF(E14="",0,LEN(E14)-LEN(SUBSTITUTE(E14,"TC-","")))/3</f>
        <v/>
      </c>
      <c r="G14" s="11" t="inlineStr">
        <is>
          <t>Not started</t>
        </is>
      </c>
      <c r="H14" s="11" t="inlineStr"/>
      <c r="I14" s="11" t="inlineStr"/>
      <c r="J14" s="11" t="inlineStr"/>
    </row>
    <row r="15">
      <c r="A15" s="4" t="inlineStr">
        <is>
          <t>Q14</t>
        </is>
      </c>
      <c r="B15" s="4" t="inlineStr">
        <is>
          <t>Valid payment-term / policy-term combinations</t>
        </is>
      </c>
      <c r="C15" s="4" t="inlineStr">
        <is>
          <t>tests/ui/product.spec.js PROD-V09</t>
        </is>
      </c>
      <c r="D15" s="4" t="n">
        <v>3</v>
      </c>
      <c r="E15" s="4" t="inlineStr"/>
      <c r="F15" s="4">
        <f>IF(E15="",0,LEN(E15)-LEN(SUBSTITUTE(E15,"TC-","")))/3</f>
        <v/>
      </c>
      <c r="G15" s="11" t="inlineStr">
        <is>
          <t>Not started</t>
        </is>
      </c>
      <c r="H15" s="11" t="inlineStr"/>
      <c r="I15" s="11" t="inlineStr"/>
      <c r="J15" s="11" t="inlineStr"/>
    </row>
    <row r="16">
      <c r="A16" s="4" t="inlineStr">
        <is>
          <t>Q15</t>
        </is>
      </c>
      <c r="B16" s="4" t="inlineStr">
        <is>
          <t>Maximum rider count, age-restricted rider, which waiver riders are exclusive, rider names</t>
        </is>
      </c>
      <c r="C16" s="4" t="inlineStr">
        <is>
          <t>.env MAX_RIDERS, RIDER_*_PATTERN</t>
        </is>
      </c>
      <c r="D16" s="4" t="n">
        <v>5</v>
      </c>
      <c r="E16" s="4" t="inlineStr">
        <is>
          <t>TC-RIDER-V03, TC-RIDER-V05</t>
        </is>
      </c>
      <c r="F16" s="4">
        <f>IF(E16="",0,LEN(E16)-LEN(SUBSTITUTE(E16,"TC-","")))/3</f>
        <v/>
      </c>
      <c r="G16" s="11" t="inlineStr">
        <is>
          <t>Not started</t>
        </is>
      </c>
      <c r="H16" s="11" t="inlineStr"/>
      <c r="I16" s="11" t="inlineStr"/>
      <c r="J16" s="11" t="inlineStr"/>
    </row>
    <row r="17">
      <c r="A17" s="4" t="inlineStr">
        <is>
          <t>Q17</t>
        </is>
      </c>
      <c r="B17" s="4" t="inlineStr">
        <is>
          <t>Maximum upload size and which documents are mandatory</t>
        </is>
      </c>
      <c r="C17" s="4" t="inlineStr">
        <is>
          <t>.env MAX_UPLOAD_MB</t>
        </is>
      </c>
      <c r="D17" s="4" t="n">
        <v>3</v>
      </c>
      <c r="E17" s="4" t="inlineStr"/>
      <c r="F17" s="4">
        <f>IF(E17="",0,LEN(E17)-LEN(SUBSTITUTE(E17,"TC-","")))/3</f>
        <v/>
      </c>
      <c r="G17" s="11" t="inlineStr">
        <is>
          <t>Not started</t>
        </is>
      </c>
      <c r="H17" s="11" t="inlineStr"/>
      <c r="I17" s="11" t="inlineStr"/>
      <c r="J17" s="11" t="inlineStr"/>
    </row>
    <row r="18">
      <c r="A18" s="4" t="inlineStr">
        <is>
          <t>Q21</t>
        </is>
      </c>
      <c r="B18" s="4" t="inlineStr">
        <is>
          <t>Can tests create their own draft applications (UI and API)? Is cleanup possible?</t>
        </is>
      </c>
      <c r="C18" s="4" t="inlineStr">
        <is>
          <t>api/helpers.js disposableDraft()</t>
        </is>
      </c>
      <c r="D18" s="4" t="n">
        <v>5</v>
      </c>
      <c r="E18" s="4" t="inlineStr">
        <is>
          <t>TC-API-V03, TC-API-V04, TC-API-V05</t>
        </is>
      </c>
      <c r="F18" s="4">
        <f>IF(E18="",0,LEN(E18)-LEN(SUBSTITUTE(E18,"TC-","")))/3</f>
        <v/>
      </c>
      <c r="G18" s="11" t="inlineStr">
        <is>
          <t>Not started</t>
        </is>
      </c>
      <c r="H18" s="11" t="inlineStr"/>
      <c r="I18" s="11" t="inlineStr"/>
      <c r="J18" s="11" t="inlineStr"/>
    </row>
    <row r="19">
      <c r="A19" s="4" t="inlineStr">
        <is>
          <t>ROUTES</t>
        </is>
      </c>
      <c r="B19" s="4" t="inlineStr">
        <is>
          <t>Walk the full journey once; note the URL of every step, the application id pattern in the URL, and the exact wording of validation messages</t>
        </is>
      </c>
      <c r="C19" s="4" t="inlineStr">
        <is>
          <t>config/routes.js, config/messages.js, config/selectors.js (run npm run discover)</t>
        </is>
      </c>
      <c r="D19" s="4" t="n">
        <v>20</v>
      </c>
      <c r="E19" s="4" t="inlineStr"/>
      <c r="F19" s="4">
        <f>IF(E19="",0,LEN(E19)-LEN(SUBSTITUTE(E19,"TC-","")))/3</f>
        <v/>
      </c>
      <c r="G19" s="11" t="inlineStr">
        <is>
          <t>Not started</t>
        </is>
      </c>
      <c r="H19" s="11" t="inlineStr"/>
      <c r="I19" s="11" t="inlineStr"/>
      <c r="J19" s="11" t="inlineStr"/>
    </row>
    <row r="21">
      <c r="A21" s="9" t="inlineStr">
        <is>
          <t>Total time-box (min)</t>
        </is>
      </c>
      <c r="D21" s="8">
        <f>SUM(D5:D19)</f>
        <v/>
      </c>
    </row>
    <row r="22">
      <c r="A22" s="9" t="inlineStr">
        <is>
          <t>Items done</t>
        </is>
      </c>
      <c r="D22" s="8">
        <f>COUNTIF(G5:G19,"Done")&amp;" of "&amp;COUNTA(A5:A19)</f>
        <v/>
      </c>
    </row>
    <row r="24">
      <c r="A24" s="10" t="inlineStr">
        <is>
          <t>Exit rule: do not start broad automation until ROUTES, Q02, Q03 and Q06 are Done. Other items may stay open - their tests skip with a reason instead of failing falsely.</t>
        </is>
      </c>
    </row>
  </sheetData>
  <dataValidations count="1">
    <dataValidation sqref="G5:G19" showDropDown="0" showInputMessage="0" showErrorMessage="0" allowBlank="0" type="list">
      <formula1>"Not started,In progress,Done,Not possible"</formula1>
    </dataValidation>
  </dataValidations>
  <pageMargins left="0.75" right="0.75" top="1" bottom="1" header="0.5" footer="0.5"/>
</worksheet>
</file>

<file path=xl/worksheets/sheet9.xml><?xml version="1.0" encoding="utf-8"?>
<worksheet xmlns="http://schemas.openxmlformats.org/spreadsheetml/2006/main">
  <sheetPr>
    <tabColor rgb="001F3864"/>
    <outlinePr summaryBelow="1" summaryRight="1"/>
    <pageSetUpPr/>
  </sheetPr>
  <dimension ref="A1:E17"/>
  <sheetViews>
    <sheetView showGridLines="0" workbookViewId="0">
      <selection activeCell="A1" sqref="A1"/>
    </sheetView>
  </sheetViews>
  <sheetFormatPr baseColWidth="8" defaultRowHeight="15"/>
  <cols>
    <col width="5" customWidth="1" min="1" max="1"/>
    <col width="22" customWidth="1" min="2" max="2"/>
    <col width="70" customWidth="1" min="3" max="3"/>
    <col width="40" customWidth="1" min="4" max="4"/>
    <col width="46" customWidth="1" min="5" max="5"/>
  </cols>
  <sheetData>
    <row r="1">
      <c r="A1" s="1" t="inlineStr">
        <is>
          <t>Known limitations and blocked areas</t>
        </is>
      </c>
    </row>
    <row r="3" ht="32" customHeight="1">
      <c r="A3" s="3" t="inlineStr">
        <is>
          <t>#</t>
        </is>
      </c>
      <c r="B3" s="3" t="inlineStr">
        <is>
          <t>Area</t>
        </is>
      </c>
      <c r="C3" s="3" t="inlineStr">
        <is>
          <t>Limitation / blocked item</t>
        </is>
      </c>
      <c r="D3" s="3" t="inlineStr">
        <is>
          <t>Impact</t>
        </is>
      </c>
      <c r="E3" s="3" t="inlineStr">
        <is>
          <t>Resolution</t>
        </is>
      </c>
    </row>
    <row r="4">
      <c r="A4" s="4" t="n">
        <v>1</v>
      </c>
      <c r="B4" s="4" t="inlineStr">
        <is>
          <t>Execution</t>
        </is>
      </c>
      <c r="C4" s="4" t="inlineStr">
        <is>
          <t>Live runs on 26 Oct (smoke 5/15 passed; full 10/96) used the first code version. The fixes in the Defect Log have only been exercised against an offline mock of the application, which proves internal consistency, not live behaviour.</t>
        </is>
      </c>
      <c r="D4" s="4" t="inlineStr">
        <is>
          <t>Selectors and flows are consistent with the application markup but are unproven on the lab</t>
        </is>
      </c>
      <c r="E4" s="4" t="inlineStr">
        <is>
          <t>Re-run npm run test:smoke on the lab, then npm run verify:selectors; record results in the Defect Log</t>
        </is>
      </c>
    </row>
    <row r="5">
      <c r="A5" s="4" t="n">
        <v>2</v>
      </c>
      <c r="B5" s="4" t="inlineStr">
        <is>
          <t>Selectors</t>
        </is>
      </c>
      <c r="C5" s="4" t="inlineStr">
        <is>
          <t>Login and dashboard ids are proven by live runs. All other ids come from the application markup as captured in the third project's page objects and are not yet proven live.</t>
        </is>
      </c>
      <c r="D5" s="4" t="inlineStr">
        <is>
          <t>A wrong id fails a test for an automation reason</t>
        </is>
      </c>
      <c r="E5" s="4" t="inlineStr">
        <is>
          <t>npm run discover then npm run verify:selectors; config/selectors.js is the only file to edit</t>
        </is>
      </c>
    </row>
    <row r="6">
      <c r="A6" s="4" t="n">
        <v>3</v>
      </c>
      <c r="B6" s="4" t="inlineStr">
        <is>
          <t>Database</t>
        </is>
      </c>
      <c r="C6" s="4" t="inlineStr">
        <is>
          <t>No DB engine, schema or access (Q04). DB-01..DB-10 are Blocked.</t>
        </is>
      </c>
      <c r="D6" s="4" t="inlineStr">
        <is>
          <t>10 cases not automated</t>
        </is>
      </c>
      <c r="E6" s="4" t="inlineStr">
        <is>
          <t>API reads are used as a proxy where the linked scenario has an API test</t>
        </is>
      </c>
    </row>
    <row r="7">
      <c r="A7" s="4" t="n">
        <v>4</v>
      </c>
      <c r="B7" s="4" t="inlineStr">
        <is>
          <t>Business rules</t>
        </is>
      </c>
      <c r="C7" s="4" t="inlineStr">
        <is>
          <t>Max riders (4), upload size (5 MB) and lockout (5 attempts) are confirmed. Face value limits, age boundary and affordability rule are still TBC.</t>
        </is>
      </c>
      <c r="D7" s="4" t="inlineStr">
        <is>
          <t>Dependent tests skip with a reason instead of failing</t>
        </is>
      </c>
      <c r="E7" s="4" t="inlineStr">
        <is>
          <t>Resolve in exploration and set the .env values</t>
        </is>
      </c>
    </row>
    <row r="8">
      <c r="A8" s="4" t="n">
        <v>5</v>
      </c>
      <c r="B8" s="4" t="inlineStr">
        <is>
          <t>Users</t>
        </is>
      </c>
      <c r="C8" s="4" t="inlineStr">
        <is>
          <t>Seeded accounts agent.valid/locked/new/mfa/draft/submitted, admin and learner001-030 are confirmed. Disposable lockout and reset users are not (Q06).</t>
        </is>
      </c>
      <c r="D8" s="4" t="inlineStr">
        <is>
          <t>Lockout and reset tests skip until disposable users are set</t>
        </is>
      </c>
      <c r="E8" s="4" t="inlineStr">
        <is>
          <t>Set AGENT_LOCKOUT_* and AGENT_RESET_* in .env</t>
        </is>
      </c>
    </row>
    <row r="9">
      <c r="A9" s="4" t="n">
        <v>6</v>
      </c>
      <c r="B9" s="4" t="inlineStr">
        <is>
          <t>Destructive tests</t>
        </is>
      </c>
      <c r="C9" s="4" t="inlineStr">
        <is>
          <t>AUTH-V07 locks an account; AUTH-V08/V13 may change a password if the app is defective.</t>
        </is>
      </c>
      <c r="D9" s="4" t="inlineStr">
        <is>
          <t>Disposable users required</t>
        </is>
      </c>
      <c r="E9" s="4" t="inlineStr">
        <is>
          <t>Use AGENT_LOCKOUT_* and AGENT_RESET_* only with throw-away users</t>
        </is>
      </c>
    </row>
    <row r="10">
      <c r="A10" s="4" t="n">
        <v>7</v>
      </c>
      <c r="B10" s="4" t="inlineStr">
        <is>
          <t>API payloads</t>
        </is>
      </c>
      <c r="C10" s="4" t="inlineStr">
        <is>
          <t>API field names are unconfirmed (Q03). Tests send a valid control request first and skip if it is rejected.</t>
        </is>
      </c>
      <c r="D10" s="4" t="inlineStr">
        <is>
          <t>No false defects, but some API tests may skip</t>
        </is>
      </c>
      <c r="E10" s="4" t="inlineStr">
        <is>
          <t>Adjust api/helpers.js after exploration</t>
        </is>
      </c>
    </row>
    <row r="11">
      <c r="A11" s="4" t="n">
        <v>8</v>
      </c>
      <c r="B11" s="4" t="inlineStr">
        <is>
          <t>Shared lab</t>
        </is>
      </c>
      <c r="C11" s="4" t="inlineStr">
        <is>
          <t>One worker by default. Parallel runs add load and can collide on shared data.</t>
        </is>
      </c>
      <c r="D11" s="4" t="inlineStr">
        <is>
          <t>Slower runs</t>
        </is>
      </c>
      <c r="E11" s="4" t="inlineStr">
        <is>
          <t>Raise WORKERS only after a stable single-worker baseline</t>
        </is>
      </c>
    </row>
    <row r="12">
      <c r="A12" s="4" t="n">
        <v>9</v>
      </c>
      <c r="B12" s="4" t="inlineStr">
        <is>
          <t>Evidence</t>
        </is>
      </c>
      <c r="C12" s="4" t="inlineStr">
        <is>
          <t>Traces and videos cannot be masked, so they are disabled for KYC / SSN tests. Masked screenshots are attached instead.</t>
        </is>
      </c>
      <c r="D12" s="4" t="inlineStr">
        <is>
          <t>Less debug detail for 4 sensitive tests</t>
        </is>
      </c>
      <c r="E12" s="4" t="inlineStr">
        <is>
          <t>Use the masked screenshot and diagnostics.json</t>
        </is>
      </c>
    </row>
    <row r="13">
      <c r="A13" s="4" t="n">
        <v>10</v>
      </c>
      <c r="B13" s="4" t="inlineStr">
        <is>
          <t>Cross-browser</t>
        </is>
      </c>
      <c r="C13" s="4" t="inlineStr">
        <is>
          <t>Chromium primary. Firefox / WebKit smoke only when CROSS_BROWSER=true.</t>
        </is>
      </c>
      <c r="D13" s="4" t="inlineStr">
        <is>
          <t>Limited cross-browser coverage</t>
        </is>
      </c>
      <c r="E13" s="4" t="inlineStr">
        <is>
          <t>Enable per the plan before release</t>
        </is>
      </c>
    </row>
    <row r="14">
      <c r="A14" s="4" t="n">
        <v>11</v>
      </c>
      <c r="B14" s="4" t="inlineStr">
        <is>
          <t>Priorities</t>
        </is>
      </c>
      <c r="C14" s="4" t="inlineStr">
        <is>
          <t>P1 re-cut from 52 to 19 cases by author judgement.</t>
        </is>
      </c>
      <c r="D14" s="4" t="inlineStr">
        <is>
          <t>Mentor / product owner should confirm the gate</t>
        </is>
      </c>
      <c r="E14" s="4" t="inlineStr">
        <is>
          <t>Review the Release Gate sheet</t>
        </is>
      </c>
    </row>
    <row r="15">
      <c r="A15" s="4" t="n">
        <v>12</v>
      </c>
      <c r="B15" s="4" t="inlineStr">
        <is>
          <t>Risk links</t>
        </is>
      </c>
      <c r="C15" s="4" t="inlineStr">
        <is>
          <t>36 cases were not named in the Submission 1 "Covered by" column and were linked to the closest risk by judgement.</t>
        </is>
      </c>
      <c r="D15" s="4" t="inlineStr">
        <is>
          <t>Traceability partly judgemental</t>
        </is>
      </c>
      <c r="E15" s="4" t="inlineStr">
        <is>
          <t>Review in the Traceability - Risks sheet</t>
        </is>
      </c>
    </row>
    <row r="16">
      <c r="A16" s="4" t="n">
        <v>13</v>
      </c>
      <c r="B16" s="4" t="inlineStr">
        <is>
          <t>Agent dashboard access</t>
        </is>
      </c>
      <c r="C16" s="4" t="inlineStr">
        <is>
          <t>The starter project proved agents are not LANDED on /dashboard after login; it did not prove they cannot open it. Journeys and DASH-* cases start from the dashboard.</t>
        </is>
      </c>
      <c r="D16" s="4" t="inlineStr">
        <is>
          <t>If agents are redirected away, many UI cases fail for one reason</t>
        </is>
      </c>
      <c r="E16" s="4" t="inlineStr">
        <is>
          <t>Verify on the lab first; if redirected, start journeys from the draft application page</t>
        </is>
      </c>
    </row>
    <row r="17">
      <c r="A17" s="4" t="n">
        <v>14</v>
      </c>
      <c r="B17" s="4" t="inlineStr">
        <is>
          <t>Merged projects</t>
        </is>
      </c>
      <c r="C17" s="4" t="inlineStr">
        <is>
          <t>Built from two projects. Confirmed lab facts from the starter project override Submission 2 guesses (login ids, X-API-Key auth, seeded users, landing page). AUTH-V14 was carried over from the starter as AUTH-V01b.</t>
        </is>
      </c>
      <c r="D17" s="4" t="inlineStr">
        <is>
          <t>None if the lab matches the starter project documentation</t>
        </is>
      </c>
      <c r="E17" s="4" t="inlineStr">
        <is>
          <t>See docs/confirmed-environment-facts.md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2026-10-28T12:46:08Z</dcterms:created>
  <dcterms:modified xmlns:dcterms="http://purl.org/dc/terms/" xmlns:xsi="http://www.w3.org/2001/XMLSchema-instance" xsi:type="dcterms:W3CDTF">2026-10-28T12:46:08Z</dcterms:modified>
</cp:coreProperties>
</file>